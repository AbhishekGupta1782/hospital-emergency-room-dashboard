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LENOVO\OneDrive\Desktop\DA PROJECTS\"/>
    </mc:Choice>
  </mc:AlternateContent>
  <xr:revisionPtr revIDLastSave="0" documentId="13_ncr:1_{EC715CE2-E84B-4D6C-A24D-CD7ACC1594CF}" xr6:coauthVersionLast="47" xr6:coauthVersionMax="47" xr10:uidLastSave="{00000000-0000-0000-0000-000000000000}"/>
  <bookViews>
    <workbookView xWindow="-108" yWindow="-108" windowWidth="23256" windowHeight="12456" activeTab="1" xr2:uid="{656E8D64-240E-463F-BBD1-8152EBEAF80D}"/>
  </bookViews>
  <sheets>
    <sheet name="Pivot Report" sheetId="1" r:id="rId1"/>
    <sheet name="dashboard" sheetId="3" r:id="rId2"/>
    <sheet name="Daily ER No. of Patient" sheetId="4" r:id="rId3"/>
    <sheet name="Average Wait time Daily Trend" sheetId="5" r:id="rId4"/>
    <sheet name="Satisfaction score daily trend" sheetId="7" r:id="rId5"/>
  </sheets>
  <definedNames>
    <definedName name="Slicer_Date__Month">#N/A</definedName>
    <definedName name="Slicer_Date__Year">#N/A</definedName>
  </definedNames>
  <calcPr calcId="191029"/>
  <pivotCaches>
    <pivotCache cacheId="1209" r:id="rId6"/>
    <pivotCache cacheId="1212" r:id="rId7"/>
    <pivotCache cacheId="1215" r:id="rId8"/>
    <pivotCache cacheId="1218" r:id="rId9"/>
    <pivotCache cacheId="1221" r:id="rId10"/>
    <pivotCache cacheId="1224" r:id="rId11"/>
    <pivotCache cacheId="1227" r:id="rId12"/>
    <pivotCache cacheId="1230" r:id="rId13"/>
    <pivotCache cacheId="1233" r:id="rId14"/>
    <pivotCache cacheId="1236" r:id="rId15"/>
    <pivotCache cacheId="1239" r:id="rId16"/>
    <pivotCache cacheId="1242" r:id="rId17"/>
  </pivotCaches>
  <extLst>
    <ext xmlns:x14="http://schemas.microsoft.com/office/spreadsheetml/2009/9/main" uri="{876F7934-8845-4945-9796-88D515C7AA90}">
      <x14:pivotCaches>
        <pivotCache cacheId="899"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R_Data_d2e41459-b0c4-4dbc-a3cc-840251eece9b" name="Hospital ER_Data" connection="Query - Hospital ER_Data"/>
          <x15:modelTable id="Calender_Table_2e9c73e6-d437-4942-9815-c1e2c6168557" name="Calender_Table" connection="Query - Calender_Table"/>
        </x15:modelTables>
        <x15:modelRelationships>
          <x15:modelRelationship fromTable="Hospital ER_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5" i="1" l="1"/>
  <c r="C45" i="1"/>
  <c r="B44" i="1"/>
  <c r="C44" i="1"/>
  <c r="A45" i="1"/>
  <c r="A4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648976-5288-4D70-8BD8-E97076C9448D}" name="Query - Calender_Table" description="Connection to the 'Calender_Table' query in the workbook." type="100" refreshedVersion="8" minRefreshableVersion="5">
    <extLst>
      <ext xmlns:x15="http://schemas.microsoft.com/office/spreadsheetml/2010/11/main" uri="{DE250136-89BD-433C-8126-D09CA5730AF9}">
        <x15:connection id="45857f44-ff1c-4d0e-83c3-4a4ec322dba2"/>
      </ext>
    </extLst>
  </connection>
  <connection id="2" xr16:uid="{78C4D9C3-1024-4DD8-8B3F-0B70CFA24FE4}" name="Query - Hospital ER_Data" description="Connection to the 'Hospital ER_Data' query in the workbook." type="100" refreshedVersion="8" minRefreshableVersion="5">
    <extLst>
      <ext xmlns:x15="http://schemas.microsoft.com/office/spreadsheetml/2010/11/main" uri="{DE250136-89BD-433C-8126-D09CA5730AF9}">
        <x15:connection id="b499c113-41cf-4f90-9a17-a79aa2369d52"/>
      </ext>
    </extLst>
  </connection>
  <connection id="3" xr16:uid="{6AD3606B-26AE-4D7D-9869-A21DDE4FB25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<sst xmlns="http://schemas.openxmlformats.org/spreadsheetml/2006/main" count="158" uniqueCount="78">
  <si>
    <t>Count of Patient Id</t>
  </si>
  <si>
    <t>Average of Patient Waittime</t>
  </si>
  <si>
    <t>Average of Patient Satisfaction Score</t>
  </si>
  <si>
    <t>Row Labels</t>
  </si>
  <si>
    <t>Grand Total</t>
  </si>
  <si>
    <t>Distinct Count of Patient Id</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</si>
  <si>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</si>
  <si>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</si>
  <si>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</si>
  <si>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</si>
  <si>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</si>
  <si>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</si>
  <si>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</si>
  <si>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</si>
  <si>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</si>
  <si>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</si>
  <si>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</si>
  <si>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</si>
  <si>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</si>
  <si>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</si>
  <si>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</si>
  <si>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</si>
  <si>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</si>
  <si>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</si>
  <si>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</si>
  <si>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</si>
  <si>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</si>
  <si>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</si>
  <si>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</si>
  <si>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</si>
  <si>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</si>
  <si>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</si>
  <si>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</si>
  <si>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</si>
  <si>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</si>
  <si>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</si>
  <si>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</si>
  <si>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r>
      <rPr>
        <sz val="48"/>
        <color theme="1"/>
        <rFont val="Calibri"/>
        <family val="2"/>
        <scheme val="minor"/>
      </rPr>
      <t>.</t>
    </r>
    <r>
      <rPr>
        <b/>
        <sz val="14"/>
        <color theme="1"/>
        <rFont val="Calibri"/>
        <family val="2"/>
        <scheme val="minor"/>
      </rPr>
      <t xml:space="preserve"> Showing a daily trend with an area sparkline to spot patterns like busy days and seasonal trends.</t>
    </r>
  </si>
  <si>
    <t>daily trends of no. of patients</t>
  </si>
  <si>
    <t>average wait time</t>
  </si>
  <si>
    <r>
      <rPr>
        <sz val="48"/>
        <color theme="1"/>
        <rFont val="Calibri"/>
        <family val="2"/>
        <scheme val="minor"/>
      </rPr>
      <t>.</t>
    </r>
    <r>
      <rPr>
        <b/>
        <sz val="14"/>
        <color theme="1"/>
        <rFont val="Calibri"/>
        <family val="2"/>
        <scheme val="minor"/>
      </rPr>
      <t xml:space="preserve"> Use an area chart to track daily changes and highlights days with longer wait time might needs improvements.</t>
    </r>
  </si>
  <si>
    <t>Admitted</t>
  </si>
  <si>
    <t>Not Admitted</t>
  </si>
  <si>
    <r>
      <rPr>
        <b/>
        <sz val="48"/>
        <color theme="1"/>
        <rFont val="Calibri"/>
        <family val="2"/>
        <scheme val="minor"/>
      </rPr>
      <t>.</t>
    </r>
    <r>
      <rPr>
        <b/>
        <sz val="14"/>
        <color theme="1"/>
        <rFont val="Calibri"/>
        <family val="2"/>
        <scheme val="minor"/>
      </rPr>
      <t xml:space="preserve"> Use an area chart to show trends, spot drops in satisfaction, and link them to busy times or challenges.</t>
    </r>
  </si>
  <si>
    <t>Count of Patient Admission Flag</t>
  </si>
  <si>
    <t>Count of Patient Admission Flag2</t>
  </si>
  <si>
    <t>Admission Status</t>
  </si>
  <si>
    <t>No. of Patients</t>
  </si>
  <si>
    <t>% Status</t>
  </si>
  <si>
    <t>10-19</t>
  </si>
  <si>
    <t>1-09</t>
  </si>
  <si>
    <t>20-29</t>
  </si>
  <si>
    <t>30-39</t>
  </si>
  <si>
    <t>40-49</t>
  </si>
  <si>
    <t>50-59</t>
  </si>
  <si>
    <t>60-69</t>
  </si>
  <si>
    <t>70-79</t>
  </si>
  <si>
    <t>Count of Age Group</t>
  </si>
  <si>
    <t>Age Group Wise analysis</t>
  </si>
  <si>
    <t>Delay</t>
  </si>
  <si>
    <t>On Time</t>
  </si>
  <si>
    <t>Count of Patient Attend Status</t>
  </si>
  <si>
    <t>Attended status analysis</t>
  </si>
  <si>
    <t>Female</t>
  </si>
  <si>
    <t>Male</t>
  </si>
  <si>
    <t>Count of Patient Gender</t>
  </si>
  <si>
    <t>Gender-Wise Patients</t>
  </si>
  <si>
    <t>Cardiology</t>
  </si>
  <si>
    <t>Gastroenterology</t>
  </si>
  <si>
    <t>General Practice</t>
  </si>
  <si>
    <t>Neurology</t>
  </si>
  <si>
    <t>None</t>
  </si>
  <si>
    <t>Orthopedics</t>
  </si>
  <si>
    <t>Physiotherapy</t>
  </si>
  <si>
    <t>Renal</t>
  </si>
  <si>
    <t>Count of Department Referral</t>
  </si>
  <si>
    <t>No. of Department Referal</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</si>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</sst>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sz val="48"/>
      <color theme="1"/>
      <name val="Calibri"/>
      <family val="2"/>
      <scheme val="minor"/>
    </font>
    <font>
      <b/>
      <sz val="48"/>
      <color theme="1"/>
      <name val="Calibri"/>
      <family val="2"/>
      <scheme val="minor"/>
    </font>
    <font>
      <b/>
      <sz val="11"/>
      <color theme="0" tint="-4.9989318521683403E-2"/>
      <name val="Calibri"/>
      <family val="2"/>
      <scheme val="minor"/>
    </font>
    <font>
      <b/>
      <sz val="11"/>
      <name val="Calibri"/>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theme="2" tint="-0.499984740745262"/>
        <bgColor indexed="64"/>
      </patternFill>
    </fill>
    <fill>
      <patternFill patternType="solid">
        <fgColor theme="9"/>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8">
    <xf numFmtId="0" fontId="0" fillId="0" borderId="0" xfId="0"/>
    <xf numFmtId="2" fontId="0" fillId="0" borderId="0" xfId="0" applyNumberFormat="1"/>
    <xf numFmtId="0" fontId="0" fillId="2" borderId="0" xfId="0" applyFill="1"/>
    <xf numFmtId="0" fontId="0" fillId="3" borderId="0" xfId="0" applyFill="1"/>
    <xf numFmtId="0" fontId="0" fillId="0" borderId="0" xfId="0" pivotButton="1"/>
    <xf numFmtId="0" fontId="0" fillId="0" borderId="0" xfId="0" applyAlignment="1">
      <alignment horizontal="left"/>
    </xf>
    <xf numFmtId="0" fontId="2" fillId="0" borderId="0" xfId="0" applyFont="1"/>
    <xf numFmtId="10" fontId="0" fillId="0" borderId="0" xfId="0" applyNumberFormat="1"/>
    <xf numFmtId="0" fontId="6" fillId="4" borderId="0" xfId="0" applyFont="1" applyFill="1" applyAlignment="1">
      <alignment horizontal="center" vertical="center"/>
    </xf>
    <xf numFmtId="0" fontId="0" fillId="4" borderId="0" xfId="0" applyFill="1" applyAlignment="1">
      <alignment horizontal="left"/>
    </xf>
    <xf numFmtId="0" fontId="2" fillId="2" borderId="0" xfId="0" applyFont="1" applyFill="1"/>
    <xf numFmtId="0" fontId="7" fillId="2" borderId="0" xfId="0" applyFont="1" applyFill="1" applyAlignment="1">
      <alignment horizontal="center" vertical="center"/>
    </xf>
    <xf numFmtId="0" fontId="3" fillId="2" borderId="0" xfId="0" applyFont="1" applyFill="1" applyAlignment="1">
      <alignment horizontal="center"/>
    </xf>
    <xf numFmtId="0" fontId="0" fillId="2" borderId="0" xfId="0" applyFill="1" applyAlignment="1">
      <alignment horizontal="center"/>
    </xf>
    <xf numFmtId="0" fontId="2" fillId="2" borderId="0" xfId="0" applyFont="1" applyFill="1" applyAlignment="1">
      <alignment horizontal="center"/>
    </xf>
    <xf numFmtId="9" fontId="7" fillId="2" borderId="0" xfId="1" applyFont="1" applyFill="1" applyAlignment="1">
      <alignment horizontal="center" vertical="center"/>
    </xf>
    <xf numFmtId="0" fontId="0" fillId="0" borderId="0" xfId="0" applyNumberFormat="1"/>
    <xf numFmtId="1" fontId="0" fillId="0" borderId="0" xfId="0" applyNumberFormat="1"/>
  </cellXfs>
  <cellStyles count="2">
    <cellStyle name="Normal" xfId="0" builtinId="0"/>
    <cellStyle name="Percent" xfId="1" builtinId="5"/>
  </cellStyles>
  <dxfs count="250">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font>
        <b/>
        <color theme="1"/>
      </font>
      <border>
        <bottom style="thin">
          <color theme="9"/>
        </bottom>
        <vertical/>
        <horizontal/>
      </border>
    </dxf>
    <dxf>
      <font>
        <color theme="1"/>
      </font>
      <fill>
        <patternFill>
          <fgColor theme="0" tint="-4.9989318521683403E-2"/>
          <bgColor theme="0" tint="-4.9989318521683403E-2"/>
        </patternFill>
      </fill>
      <border diagonalUp="0" diagonalDown="0">
        <left/>
        <right/>
        <top/>
        <bottom/>
        <vertical/>
        <horizontal/>
      </border>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color theme="1"/>
      </font>
      <border>
        <bottom style="thin">
          <color theme="4"/>
        </bottom>
        <vertical/>
        <horizontal/>
      </border>
    </dxf>
    <dxf>
      <font>
        <b/>
        <i val="0"/>
        <sz val="12"/>
        <color theme="0" tint="-0.24994659260841701"/>
        <name val="Aptos Narrow"/>
        <family val="2"/>
        <scheme val="none"/>
      </font>
      <fill>
        <patternFill>
          <bgColor theme="0" tint="-4.9989318521683403E-2"/>
        </patternFill>
      </fill>
      <border diagonalUp="0" diagonalDown="0">
        <left/>
        <right/>
        <top/>
        <bottom/>
        <vertical/>
        <horizontal/>
      </border>
    </dxf>
  </dxfs>
  <tableStyles count="2" defaultTableStyle="TableStyleMedium2" defaultPivotStyle="PivotStyleLight16">
    <tableStyle name="green filter" pivot="0" table="0" count="10" xr9:uid="{6D8262E2-1928-4FE2-BC56-6A20501980BF}">
      <tableStyleElement type="wholeTable" dxfId="97"/>
      <tableStyleElement type="headerRow" dxfId="96"/>
    </tableStyle>
    <tableStyle name="my style" pivot="0" table="0" count="10" xr9:uid="{569F63AC-BCCF-4709-B36F-A655DFA3FFFA}">
      <tableStyleElement type="wholeTable" dxfId="249"/>
      <tableStyleElement type="headerRow" dxfId="248"/>
    </tableStyle>
  </tableStyle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green filt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my style">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Dashborad.xlsx]Pivot Report!PivotTable7</c:name>
    <c:fmtId val="0"/>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none" lIns="0" tIns="19050" rIns="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noFill/>
          <a:ln>
            <a:noFill/>
          </a:ln>
          <a:effectLst/>
        </c:spPr>
        <c:marker>
          <c:symbol val="none"/>
        </c:marker>
        <c:dLbl>
          <c:idx val="0"/>
          <c:delete val="1"/>
          <c:extLst>
            <c:ext xmlns:c15="http://schemas.microsoft.com/office/drawing/2012/chart" uri="{CE6537A1-D6FC-4f65-9D91-7224C49458BB}"/>
          </c:extLst>
        </c:dLbl>
      </c:pivotFmt>
      <c:pivotFmt>
        <c:idx val="2"/>
        <c:dLbl>
          <c:idx val="0"/>
          <c:layout>
            <c:manualLayout>
              <c:x val="2.6203477424147859E-2"/>
              <c:y val="-1.5624999999999993E-2"/>
            </c:manualLayout>
          </c:layout>
          <c:spPr>
            <a:noFill/>
            <a:ln>
              <a:noFill/>
            </a:ln>
            <a:effectLst/>
          </c:spPr>
          <c:txPr>
            <a:bodyPr rot="0" spcFirstLastPara="1" vertOverflow="ellipsis" vert="horz" wrap="none" lIns="0" tIns="19050" rIns="0" bIns="19050" anchor="ctr" anchorCtr="1">
              <a:noAutofit/>
            </a:bodyPr>
            <a:lstStyle/>
            <a:p>
              <a:pPr>
                <a:defRPr sz="900" b="1" i="0" u="none" strike="noStrike" kern="1200" baseline="0">
                  <a:solidFill>
                    <a:sysClr val="windowText" lastClr="000000"/>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7101934656358"/>
                  <c:h val="0.1158497375328084"/>
                </c:manualLayout>
              </c15:layout>
              <c15:showDataLabelsRange val="1"/>
            </c:ext>
          </c:extLst>
        </c:dLbl>
      </c:pivotFmt>
      <c:pivotFmt>
        <c:idx val="3"/>
        <c:dLbl>
          <c:idx val="0"/>
          <c:tx>
            <c:rich>
              <a:bodyPr rot="0" spcFirstLastPara="1" vertOverflow="ellipsis" vert="horz" wrap="none" lIns="0" tIns="19050" rIns="0" bIns="19050" anchor="ctr" anchorCtr="1">
                <a:spAutoFit/>
              </a:bodyPr>
              <a:lstStyle/>
              <a:p>
                <a:pPr>
                  <a:defRPr sz="900" b="1" i="0" u="none" strike="noStrike" kern="1200" baseline="0">
                    <a:solidFill>
                      <a:sysClr val="windowText" lastClr="000000"/>
                    </a:solidFill>
                    <a:latin typeface="+mn-lt"/>
                    <a:ea typeface="+mn-ea"/>
                    <a:cs typeface="+mn-cs"/>
                  </a:defRPr>
                </a:pPr>
                <a:fld id="{742819CA-6DF2-49AD-9E55-4C9E9922300B}" type="CELLRANGE">
                  <a:rPr lang="en-US"/>
                  <a:pPr>
                    <a:defRPr sz="900" b="1" i="0" u="none" strike="noStrike" kern="1200" baseline="0">
                      <a:solidFill>
                        <a:sysClr val="windowText" lastClr="000000"/>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s>
    <c:plotArea>
      <c:layout>
        <c:manualLayout>
          <c:layoutTarget val="inner"/>
          <c:xMode val="edge"/>
          <c:yMode val="edge"/>
          <c:x val="0.11290483485944347"/>
          <c:y val="0.14725649451298903"/>
          <c:w val="0.75266564530112468"/>
          <c:h val="0.6979818959637919"/>
        </c:manualLayout>
      </c:layout>
      <c:barChart>
        <c:barDir val="bar"/>
        <c:grouping val="clustered"/>
        <c:varyColors val="0"/>
        <c:ser>
          <c:idx val="0"/>
          <c:order val="0"/>
          <c:tx>
            <c:strRef>
              <c:f>'Pivot Report'!$C$38:$C$39</c:f>
              <c:strCache>
                <c:ptCount val="1"/>
                <c:pt idx="0">
                  <c:v>Count of Patient Admission Flag</c:v>
                </c:pt>
              </c:strCache>
            </c:strRef>
          </c:tx>
          <c:spPr>
            <a:solidFill>
              <a:schemeClr val="accent6"/>
            </a:solidFill>
            <a:ln>
              <a:noFill/>
            </a:ln>
            <a:effectLst/>
          </c:spPr>
          <c:invertIfNegative val="0"/>
          <c:dLbls>
            <c:dLbl>
              <c:idx val="0"/>
              <c:layout>
                <c:manualLayout>
                  <c:x val="2.6203477424147859E-2"/>
                  <c:y val="-1.5624999999999993E-2"/>
                </c:manualLayout>
              </c:layout>
              <c:spPr>
                <a:noFill/>
                <a:ln>
                  <a:noFill/>
                </a:ln>
                <a:effectLst/>
              </c:spPr>
              <c:txPr>
                <a:bodyPr rot="0" spcFirstLastPara="1" vertOverflow="ellipsis" vert="horz" wrap="none" lIns="0" tIns="19050" rIns="0" bIns="19050" anchor="ctr" anchorCtr="1">
                  <a:noAutofit/>
                </a:bodyPr>
                <a:lstStyle/>
                <a:p>
                  <a:pPr>
                    <a:defRPr sz="900" b="1" i="0" u="none" strike="noStrike" kern="1200" baseline="0">
                      <a:solidFill>
                        <a:sysClr val="windowText" lastClr="000000"/>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7101934656358"/>
                      <c:h val="0.1158497375328084"/>
                    </c:manualLayout>
                  </c15:layout>
                  <c15:showDataLabelsRange val="1"/>
                </c:ext>
              </c:extLst>
            </c:dLbl>
            <c:spPr>
              <a:noFill/>
              <a:ln>
                <a:noFill/>
              </a:ln>
              <a:effectLst/>
            </c:spPr>
            <c:txPr>
              <a:bodyPr rot="0" spcFirstLastPara="1" vertOverflow="ellipsis" vert="horz" wrap="none" lIns="0" tIns="19050" rIns="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ext>
            </c:extLst>
          </c:dLbls>
          <c:cat>
            <c:strRef>
              <c:f>'Pivot Report'!$C$38:$C$39</c:f>
              <c:strCache>
                <c:ptCount val="2"/>
                <c:pt idx="0">
                  <c:v>Admitted</c:v>
                </c:pt>
                <c:pt idx="1">
                  <c:v>Not Admitted</c:v>
                </c:pt>
              </c:strCache>
            </c:strRef>
          </c:cat>
          <c:val>
            <c:numRef>
              <c:f>'Pivot Report'!$C$38:$C$39</c:f>
              <c:numCache>
                <c:formatCode>0.00</c:formatCode>
                <c:ptCount val="2"/>
                <c:pt idx="0">
                  <c:v>269</c:v>
                </c:pt>
                <c:pt idx="1">
                  <c:v>244</c:v>
                </c:pt>
              </c:numCache>
            </c:numRef>
          </c:val>
          <c:extLst>
            <c:ext xmlns:c16="http://schemas.microsoft.com/office/drawing/2014/chart" uri="{C3380CC4-5D6E-409C-BE32-E72D297353CC}">
              <c16:uniqueId val="{00000000-8903-477E-A5CB-3B37CE837122}"/>
            </c:ext>
          </c:extLst>
        </c:ser>
        <c:ser>
          <c:idx val="1"/>
          <c:order val="1"/>
          <c:tx>
            <c:strRef>
              <c:f>'Pivot Report'!$C$38:$C$39</c:f>
              <c:strCache>
                <c:ptCount val="1"/>
                <c:pt idx="0">
                  <c:v>Count of Patient Admission Flag2</c:v>
                </c:pt>
              </c:strCache>
            </c:strRef>
          </c:tx>
          <c:spPr>
            <a:noFill/>
            <a:ln>
              <a:noFill/>
            </a:ln>
            <a:effectLst/>
          </c:spPr>
          <c:invertIfNegative val="0"/>
          <c:cat>
            <c:strRef>
              <c:f>'Pivot Report'!$C$38:$C$39</c:f>
              <c:strCache>
                <c:ptCount val="2"/>
                <c:pt idx="0">
                  <c:v>Admitted</c:v>
                </c:pt>
                <c:pt idx="1">
                  <c:v>Not Admitted</c:v>
                </c:pt>
              </c:strCache>
            </c:strRef>
          </c:cat>
          <c:val>
            <c:numRef>
              <c:f>'Pivot Report'!$C$38:$C$39</c:f>
              <c:numCache>
                <c:formatCode>0.00%</c:formatCode>
                <c:ptCount val="2"/>
                <c:pt idx="0">
                  <c:v>0.52436647173489281</c:v>
                </c:pt>
                <c:pt idx="1">
                  <c:v>0.47563352826510719</c:v>
                </c:pt>
              </c:numCache>
            </c:numRef>
          </c:val>
          <c:extLst>
            <c:ext xmlns:c16="http://schemas.microsoft.com/office/drawing/2014/chart" uri="{C3380CC4-5D6E-409C-BE32-E72D297353CC}">
              <c16:uniqueId val="{00000001-8903-477E-A5CB-3B37CE837122}"/>
            </c:ext>
          </c:extLst>
        </c:ser>
        <c:dLbls>
          <c:showLegendKey val="0"/>
          <c:showVal val="0"/>
          <c:showCatName val="0"/>
          <c:showSerName val="0"/>
          <c:showPercent val="0"/>
          <c:showBubbleSize val="0"/>
        </c:dLbls>
        <c:gapWidth val="185"/>
        <c:axId val="1939571776"/>
        <c:axId val="1939572256"/>
      </c:barChart>
      <c:catAx>
        <c:axId val="1939571776"/>
        <c:scaling>
          <c:orientation val="minMax"/>
        </c:scaling>
        <c:delete val="1"/>
        <c:axPos val="l"/>
        <c:numFmt formatCode="General" sourceLinked="1"/>
        <c:majorTickMark val="none"/>
        <c:minorTickMark val="none"/>
        <c:tickLblPos val="nextTo"/>
        <c:crossAx val="1939572256"/>
        <c:crosses val="autoZero"/>
        <c:auto val="1"/>
        <c:lblAlgn val="ctr"/>
        <c:lblOffset val="100"/>
        <c:noMultiLvlLbl val="0"/>
      </c:catAx>
      <c:valAx>
        <c:axId val="1939572256"/>
        <c:scaling>
          <c:orientation val="minMax"/>
        </c:scaling>
        <c:delete val="1"/>
        <c:axPos val="b"/>
        <c:numFmt formatCode="0.00" sourceLinked="1"/>
        <c:majorTickMark val="none"/>
        <c:minorTickMark val="none"/>
        <c:tickLblPos val="nextTo"/>
        <c:crossAx val="1939571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[Hospital Emergency Room Dashborad.xlsx]Pivot Report!PivotTable4</c:name>
    <c:fmtId val="3"/>
  </c:pivotSource>
  <c:chart>
    <c:autoTitleDeleted val="1"/>
    <c:pivotFmts>
      <c:pivotFmt>
        <c:idx val="0"/>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715660542432194E-2"/>
          <c:y val="7.7118592934503863E-2"/>
          <c:w val="0.9593193120596768"/>
          <c:h val="0.92288165471853334"/>
        </c:manualLayout>
      </c:layout>
      <c:areaChart>
        <c:grouping val="standard"/>
        <c:varyColors val="0"/>
        <c:ser>
          <c:idx val="0"/>
          <c:order val="0"/>
          <c:tx>
            <c:strRef>
              <c:f>'Pivot Report'!$E$3</c:f>
              <c:strCache>
                <c:ptCount val="1"/>
                <c:pt idx="0">
                  <c:v>Total</c:v>
                </c:pt>
              </c:strCache>
            </c:strRef>
          </c:tx>
          <c:spPr>
            <a:solidFill>
              <a:schemeClr val="accent6"/>
            </a:solidFill>
            <a:ln w="25400">
              <a:noFill/>
            </a:ln>
            <a:effectLst/>
          </c:spPr>
          <c:cat>
            <c:strRef>
              <c:f>'Pivot Report'!$D$4:$D$35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Report'!$E$4:$E$35</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DD3D-4E47-8C9B-303222DE1FD4}"/>
            </c:ext>
          </c:extLst>
        </c:ser>
        <c:dLbls>
          <c:showLegendKey val="0"/>
          <c:showVal val="0"/>
          <c:showCatName val="0"/>
          <c:showSerName val="0"/>
          <c:showPercent val="0"/>
          <c:showBubbleSize val="0"/>
        </c:dLbls>
        <c:axId val="1929240720"/>
        <c:axId val="1929247440"/>
      </c:areaChart>
      <c:catAx>
        <c:axId val="1929240720"/>
        <c:scaling>
          <c:orientation val="minMax"/>
        </c:scaling>
        <c:delete val="1"/>
        <c:axPos val="b"/>
        <c:numFmt formatCode="General" sourceLinked="1"/>
        <c:majorTickMark val="out"/>
        <c:minorTickMark val="none"/>
        <c:tickLblPos val="nextTo"/>
        <c:crossAx val="1929247440"/>
        <c:crosses val="autoZero"/>
        <c:auto val="1"/>
        <c:lblAlgn val="ctr"/>
        <c:lblOffset val="100"/>
        <c:noMultiLvlLbl val="0"/>
      </c:catAx>
      <c:valAx>
        <c:axId val="1929247440"/>
        <c:scaling>
          <c:orientation val="minMax"/>
        </c:scaling>
        <c:delete val="1"/>
        <c:axPos val="l"/>
        <c:numFmt formatCode="General" sourceLinked="1"/>
        <c:majorTickMark val="none"/>
        <c:minorTickMark val="none"/>
        <c:tickLblPos val="nextTo"/>
        <c:crossAx val="1929240720"/>
        <c:crosses val="autoZero"/>
        <c:crossBetween val="midCat"/>
      </c:valAx>
      <c:spPr>
        <a:noFill/>
        <a:ln>
          <a:noFill/>
        </a:ln>
        <a:effectLst/>
      </c:spPr>
    </c:plotArea>
    <c:plotVisOnly val="1"/>
    <c:dispBlanksAs val="zero"/>
    <c:showDLblsOverMax val="0"/>
    <c:extLst/>
  </c:chart>
  <c:spPr>
    <a:noFill/>
    <a:ln w="9525" cap="flat" cmpd="sng" algn="ctr">
      <a:no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Dashborad.xlsx]Pivot Report!PivotTable5</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30053502927518677"/>
          <c:w val="1"/>
          <c:h val="0.6994649707248134"/>
        </c:manualLayout>
      </c:layout>
      <c:areaChart>
        <c:grouping val="standard"/>
        <c:varyColors val="0"/>
        <c:ser>
          <c:idx val="0"/>
          <c:order val="0"/>
          <c:tx>
            <c:strRef>
              <c:f>'Pivot Report'!$I$3</c:f>
              <c:strCache>
                <c:ptCount val="1"/>
                <c:pt idx="0">
                  <c:v>Total</c:v>
                </c:pt>
              </c:strCache>
            </c:strRef>
          </c:tx>
          <c:spPr>
            <a:solidFill>
              <a:schemeClr val="accent6"/>
            </a:solidFill>
            <a:ln w="25400">
              <a:noFill/>
            </a:ln>
            <a:effectLst/>
          </c:spPr>
          <c:cat>
            <c:strRef>
              <c:f>'Pivot Report'!$H$4:$H$35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Report'!$I$4:$I$35</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489E-40ED-B4C3-40C7D55B0909}"/>
            </c:ext>
          </c:extLst>
        </c:ser>
        <c:dLbls>
          <c:showLegendKey val="0"/>
          <c:showVal val="0"/>
          <c:showCatName val="0"/>
          <c:showSerName val="0"/>
          <c:showPercent val="0"/>
          <c:showBubbleSize val="0"/>
        </c:dLbls>
        <c:axId val="2137672256"/>
        <c:axId val="2137669856"/>
      </c:areaChart>
      <c:catAx>
        <c:axId val="2137672256"/>
        <c:scaling>
          <c:orientation val="minMax"/>
        </c:scaling>
        <c:delete val="1"/>
        <c:axPos val="b"/>
        <c:numFmt formatCode="General" sourceLinked="1"/>
        <c:majorTickMark val="out"/>
        <c:minorTickMark val="none"/>
        <c:tickLblPos val="nextTo"/>
        <c:crossAx val="2137669856"/>
        <c:crosses val="autoZero"/>
        <c:auto val="1"/>
        <c:lblAlgn val="ctr"/>
        <c:lblOffset val="100"/>
        <c:noMultiLvlLbl val="0"/>
      </c:catAx>
      <c:valAx>
        <c:axId val="2137669856"/>
        <c:scaling>
          <c:orientation val="minMax"/>
        </c:scaling>
        <c:delete val="1"/>
        <c:axPos val="l"/>
        <c:numFmt formatCode="0.00" sourceLinked="1"/>
        <c:majorTickMark val="none"/>
        <c:minorTickMark val="none"/>
        <c:tickLblPos val="nextTo"/>
        <c:crossAx val="213767225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Dashborad.xlsx]Pivot Report!PivotTable6</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696953890227444E-2"/>
          <c:y val="0"/>
          <c:w val="0.98505261763415219"/>
          <c:h val="0.95726495726495731"/>
        </c:manualLayout>
      </c:layout>
      <c:areaChart>
        <c:grouping val="standard"/>
        <c:varyColors val="0"/>
        <c:ser>
          <c:idx val="0"/>
          <c:order val="0"/>
          <c:tx>
            <c:strRef>
              <c:f>'Pivot Report'!$M$3</c:f>
              <c:strCache>
                <c:ptCount val="1"/>
                <c:pt idx="0">
                  <c:v>Total</c:v>
                </c:pt>
              </c:strCache>
            </c:strRef>
          </c:tx>
          <c:spPr>
            <a:solidFill>
              <a:schemeClr val="accent6"/>
            </a:solidFill>
            <a:ln w="25400">
              <a:noFill/>
            </a:ln>
            <a:effectLst/>
          </c:spPr>
          <c:cat>
            <c:strRef>
              <c:f>'Pivot Report'!$L$4:$L$35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Report'!$M$4:$M$35</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C169-4C65-8FCC-B96AA0B21035}"/>
            </c:ext>
          </c:extLst>
        </c:ser>
        <c:dLbls>
          <c:showLegendKey val="0"/>
          <c:showVal val="0"/>
          <c:showCatName val="0"/>
          <c:showSerName val="0"/>
          <c:showPercent val="0"/>
          <c:showBubbleSize val="0"/>
        </c:dLbls>
        <c:axId val="1937225600"/>
        <c:axId val="1937224160"/>
      </c:areaChart>
      <c:catAx>
        <c:axId val="1937225600"/>
        <c:scaling>
          <c:orientation val="minMax"/>
        </c:scaling>
        <c:delete val="1"/>
        <c:axPos val="b"/>
        <c:numFmt formatCode="General" sourceLinked="1"/>
        <c:majorTickMark val="out"/>
        <c:minorTickMark val="none"/>
        <c:tickLblPos val="nextTo"/>
        <c:crossAx val="1937224160"/>
        <c:crosses val="autoZero"/>
        <c:auto val="1"/>
        <c:lblAlgn val="ctr"/>
        <c:lblOffset val="100"/>
        <c:noMultiLvlLbl val="0"/>
      </c:catAx>
      <c:valAx>
        <c:axId val="1937224160"/>
        <c:scaling>
          <c:orientation val="minMax"/>
        </c:scaling>
        <c:delete val="1"/>
        <c:axPos val="l"/>
        <c:numFmt formatCode="0.00" sourceLinked="1"/>
        <c:majorTickMark val="none"/>
        <c:minorTickMark val="none"/>
        <c:tickLblPos val="nextTo"/>
        <c:crossAx val="193722560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Dashborad.xlsx]Pivot Report!PivotTable8</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096852131894107E-3"/>
          <c:y val="0.25406383765787666"/>
          <c:w val="0.99610050813184781"/>
          <c:h val="0.61397769909633781"/>
        </c:manualLayout>
      </c:layout>
      <c:barChart>
        <c:barDir val="col"/>
        <c:grouping val="clustered"/>
        <c:varyColors val="0"/>
        <c:ser>
          <c:idx val="0"/>
          <c:order val="0"/>
          <c:tx>
            <c:strRef>
              <c:f>'Pivot Report'!$B$48</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Report'!$A$49:$A$57</c:f>
              <c:strCache>
                <c:ptCount val="8"/>
                <c:pt idx="0">
                  <c:v>10-19</c:v>
                </c:pt>
                <c:pt idx="1">
                  <c:v>1-09</c:v>
                </c:pt>
                <c:pt idx="2">
                  <c:v>20-29</c:v>
                </c:pt>
                <c:pt idx="3">
                  <c:v>30-39</c:v>
                </c:pt>
                <c:pt idx="4">
                  <c:v>40-49</c:v>
                </c:pt>
                <c:pt idx="5">
                  <c:v>50-59</c:v>
                </c:pt>
                <c:pt idx="6">
                  <c:v>60-69</c:v>
                </c:pt>
                <c:pt idx="7">
                  <c:v>70-79</c:v>
                </c:pt>
              </c:strCache>
            </c:strRef>
          </c:cat>
          <c:val>
            <c:numRef>
              <c:f>'Pivot Report'!$B$49:$B$57</c:f>
              <c:numCache>
                <c:formatCode>0</c:formatCode>
                <c:ptCount val="8"/>
                <c:pt idx="0">
                  <c:v>69</c:v>
                </c:pt>
                <c:pt idx="1">
                  <c:v>76</c:v>
                </c:pt>
                <c:pt idx="2">
                  <c:v>64</c:v>
                </c:pt>
                <c:pt idx="3">
                  <c:v>59</c:v>
                </c:pt>
                <c:pt idx="4">
                  <c:v>58</c:v>
                </c:pt>
                <c:pt idx="5">
                  <c:v>66</c:v>
                </c:pt>
                <c:pt idx="6">
                  <c:v>67</c:v>
                </c:pt>
                <c:pt idx="7">
                  <c:v>54</c:v>
                </c:pt>
              </c:numCache>
            </c:numRef>
          </c:val>
          <c:extLst>
            <c:ext xmlns:c16="http://schemas.microsoft.com/office/drawing/2014/chart" uri="{C3380CC4-5D6E-409C-BE32-E72D297353CC}">
              <c16:uniqueId val="{00000001-EE5A-4E6A-946C-CB8CD6FE8EB2}"/>
            </c:ext>
          </c:extLst>
        </c:ser>
        <c:dLbls>
          <c:showLegendKey val="0"/>
          <c:showVal val="0"/>
          <c:showCatName val="0"/>
          <c:showSerName val="0"/>
          <c:showPercent val="0"/>
          <c:showBubbleSize val="0"/>
        </c:dLbls>
        <c:gapWidth val="219"/>
        <c:overlap val="-27"/>
        <c:axId val="379850752"/>
        <c:axId val="379854112"/>
      </c:barChart>
      <c:catAx>
        <c:axId val="379850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379854112"/>
        <c:crosses val="autoZero"/>
        <c:auto val="1"/>
        <c:lblAlgn val="ctr"/>
        <c:lblOffset val="100"/>
        <c:noMultiLvlLbl val="0"/>
      </c:catAx>
      <c:valAx>
        <c:axId val="379854112"/>
        <c:scaling>
          <c:orientation val="minMax"/>
        </c:scaling>
        <c:delete val="1"/>
        <c:axPos val="l"/>
        <c:numFmt formatCode="0" sourceLinked="1"/>
        <c:majorTickMark val="none"/>
        <c:minorTickMark val="none"/>
        <c:tickLblPos val="nextTo"/>
        <c:crossAx val="379850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Dashborad.xlsx]Pivot Report!PivotTable9</c:name>
    <c:fmtId val="9"/>
  </c:pivotSource>
  <c:chart>
    <c:title>
      <c:tx>
        <c:rich>
          <a:bodyPr rot="0" spcFirstLastPara="1" vertOverflow="ellipsis" vert="horz" wrap="square" anchor="ctr" anchorCtr="1"/>
          <a:lstStyle/>
          <a:p>
            <a:pPr>
              <a:defRPr sz="1200" b="1" i="0" u="none" strike="noStrike" kern="1200" baseline="0">
                <a:solidFill>
                  <a:schemeClr val="dk1">
                    <a:lumMod val="65000"/>
                    <a:lumOff val="35000"/>
                  </a:schemeClr>
                </a:solidFill>
                <a:latin typeface="+mn-lt"/>
                <a:ea typeface="+mn-ea"/>
                <a:cs typeface="+mn-cs"/>
              </a:defRPr>
            </a:pPr>
            <a:r>
              <a:rPr lang="en-IN" sz="1200">
                <a:solidFill>
                  <a:sysClr val="windowText" lastClr="000000"/>
                </a:solidFill>
              </a:rPr>
              <a:t>Patient Attend Status</a:t>
            </a:r>
          </a:p>
        </c:rich>
      </c:tx>
      <c:layout>
        <c:manualLayout>
          <c:xMode val="edge"/>
          <c:yMode val="edge"/>
          <c:x val="0.12342980776051642"/>
          <c:y val="2.2135644502770488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solidFill>
            <a:schemeClr val="accent6"/>
          </a:solidFill>
          <a:ln>
            <a:noFill/>
          </a:ln>
          <a:effectLst>
            <a:outerShdw blurRad="50800" dist="38100" dir="2700000" algn="tl" rotWithShape="0">
              <a:prstClr val="black">
                <a:alpha val="4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6"/>
          </a:solidFill>
          <a:ln>
            <a:noFill/>
          </a:ln>
          <a:effectLst>
            <a:outerShdw blurRad="50800" dist="38100" dir="2700000" algn="tl" rotWithShape="0">
              <a:prstClr val="black">
                <a:alpha val="40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r>
                  <a:rPr lang="en-US" sz="1100"/>
                  <a:t> </a:t>
                </a:r>
                <a:fld id="{E6E3124B-CF38-4979-A01A-62517C7BB91A}" type="PERCENTAGE">
                  <a:rPr lang="en-US" sz="1100"/>
                  <a:pPr>
                    <a:defRPr/>
                  </a:pPr>
                  <a:t>[PERCENTAGE]</a:t>
                </a:fld>
                <a:endParaRPr lang="en-US" sz="110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5"/>
          </a:solidFill>
          <a:ln>
            <a:noFill/>
          </a:ln>
          <a:effectLst>
            <a:outerShdw blurRad="50800" dist="38100" dir="2700000" algn="tl" rotWithShape="0">
              <a:prstClr val="black">
                <a:alpha val="40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r>
                  <a:rPr lang="en-US" sz="1100"/>
                  <a:t> </a:t>
                </a:r>
                <a:fld id="{8F352487-EBED-443C-84C0-190DB3FDDB3D}" type="PERCENTAGE">
                  <a:rPr lang="en-US" sz="1100"/>
                  <a:pPr>
                    <a:defRPr/>
                  </a:pPr>
                  <a:t>[PERCENTAGE]</a:t>
                </a:fld>
                <a:endParaRPr lang="en-US" sz="110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6.5337660495140809E-2"/>
          <c:y val="0.15915992271799362"/>
          <c:w val="0.61408420231254868"/>
          <c:h val="0.78892762102653824"/>
        </c:manualLayout>
      </c:layout>
      <c:doughnutChart>
        <c:varyColors val="1"/>
        <c:ser>
          <c:idx val="0"/>
          <c:order val="0"/>
          <c:tx>
            <c:strRef>
              <c:f>'Pivot Report'!$E$48</c:f>
              <c:strCache>
                <c:ptCount val="1"/>
                <c:pt idx="0">
                  <c:v>Total</c:v>
                </c:pt>
              </c:strCache>
            </c:strRef>
          </c:tx>
          <c:spPr>
            <a:effectLst>
              <a:outerShdw blurRad="50800" dist="38100" dir="2700000" algn="tl" rotWithShape="0">
                <a:prstClr val="black">
                  <a:alpha val="40000"/>
                </a:prstClr>
              </a:outerShdw>
            </a:effectLst>
          </c:spPr>
          <c:dPt>
            <c:idx val="0"/>
            <c:bubble3D val="0"/>
            <c:spPr>
              <a:solidFill>
                <a:schemeClr val="accent6"/>
              </a:solidFill>
              <a:ln>
                <a:noFill/>
              </a:ln>
              <a:effectLst>
                <a:outerShdw blurRad="50800" dist="38100" dir="2700000" algn="tl" rotWithShape="0">
                  <a:prstClr val="black">
                    <a:alpha val="40000"/>
                  </a:prstClr>
                </a:outerShdw>
              </a:effectLst>
            </c:spPr>
          </c:dPt>
          <c:dPt>
            <c:idx val="1"/>
            <c:bubble3D val="0"/>
            <c:spPr>
              <a:solidFill>
                <a:schemeClr val="accent5"/>
              </a:solidFill>
              <a:ln>
                <a:noFill/>
              </a:ln>
              <a:effectLst>
                <a:outerShdw blurRad="50800" dist="38100" dir="2700000" algn="tl" rotWithShape="0">
                  <a:prstClr val="black">
                    <a:alpha val="40000"/>
                  </a:prstClr>
                </a:outerShdw>
              </a:effectLst>
            </c:spPr>
          </c:dPt>
          <c:dLbls>
            <c:dLbl>
              <c:idx val="0"/>
              <c:tx>
                <c:rich>
                  <a:bodyPr/>
                  <a:lstStyle/>
                  <a:p>
                    <a:r>
                      <a:rPr lang="en-US" sz="1100"/>
                      <a:t> </a:t>
                    </a:r>
                    <a:fld id="{E6E3124B-CF38-4979-A01A-62517C7BB91A}" type="PERCENTAGE">
                      <a:rPr lang="en-US" sz="1100"/>
                      <a:pPr/>
                      <a:t>[PERCENTAGE]</a:t>
                    </a:fld>
                    <a:endParaRPr lang="en-US" sz="110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Lst>
            </c:dLbl>
            <c:dLbl>
              <c:idx val="1"/>
              <c:tx>
                <c:rich>
                  <a:bodyPr/>
                  <a:lstStyle/>
                  <a:p>
                    <a:r>
                      <a:rPr lang="en-US" sz="1100"/>
                      <a:t> </a:t>
                    </a:r>
                    <a:fld id="{8F352487-EBED-443C-84C0-190DB3FDDB3D}" type="PERCENTAGE">
                      <a:rPr lang="en-US" sz="1100"/>
                      <a:pPr/>
                      <a:t>[PERCENTAGE]</a:t>
                    </a:fld>
                    <a:endParaRPr lang="en-US" sz="110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Report'!$D$49:$D$51</c:f>
              <c:strCache>
                <c:ptCount val="2"/>
                <c:pt idx="0">
                  <c:v>Delay</c:v>
                </c:pt>
                <c:pt idx="1">
                  <c:v>On Time</c:v>
                </c:pt>
              </c:strCache>
            </c:strRef>
          </c:cat>
          <c:val>
            <c:numRef>
              <c:f>'Pivot Report'!$E$49:$E$51</c:f>
              <c:numCache>
                <c:formatCode>0</c:formatCode>
                <c:ptCount val="2"/>
                <c:pt idx="0">
                  <c:v>316</c:v>
                </c:pt>
                <c:pt idx="1">
                  <c:v>197</c:v>
                </c:pt>
              </c:numCache>
            </c:numRef>
          </c:val>
          <c:extLst>
            <c:ext xmlns:c16="http://schemas.microsoft.com/office/drawing/2014/chart" uri="{C3380CC4-5D6E-409C-BE32-E72D297353CC}">
              <c16:uniqueId val="{0000000B-1466-4DA5-875A-65A8423C0E67}"/>
            </c:ext>
          </c:extLst>
        </c:ser>
        <c:dLbls>
          <c:showLegendKey val="0"/>
          <c:showVal val="0"/>
          <c:showCatName val="0"/>
          <c:showSerName val="0"/>
          <c:showPercent val="1"/>
          <c:showBubbleSize val="0"/>
          <c:showLeaderLines val="1"/>
        </c:dLbls>
        <c:firstSliceAng val="0"/>
        <c:holeSize val="56"/>
      </c:doughnutChart>
      <c:spPr>
        <a:noFill/>
        <a:ln>
          <a:noFill/>
        </a:ln>
        <a:effectLst/>
      </c:spPr>
    </c:plotArea>
    <c:legend>
      <c:legendPos val="r"/>
      <c:layout>
        <c:manualLayout>
          <c:xMode val="edge"/>
          <c:yMode val="edge"/>
          <c:x val="0.76247002908420236"/>
          <c:y val="0.49196968868474772"/>
          <c:w val="0.21050294388877067"/>
          <c:h val="0.218462015164771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Dashborad.xlsx]Pivot Report!PivotTable10</c:name>
    <c:fmtId val="21"/>
  </c:pivotSource>
  <c:chart>
    <c:title>
      <c:tx>
        <c:rich>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r>
              <a:rPr lang="en-US" sz="1200">
                <a:solidFill>
                  <a:sysClr val="windowText" lastClr="000000"/>
                </a:solidFill>
              </a:rPr>
              <a:t>No. of Patient by Gender</a:t>
            </a:r>
          </a:p>
        </c:rich>
      </c:tx>
      <c:layout>
        <c:manualLayout>
          <c:xMode val="edge"/>
          <c:yMode val="edge"/>
          <c:x val="0.14158186166676945"/>
          <c:y val="2.651799708781985E-2"/>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6"/>
          </a:solidFill>
          <a:ln>
            <a:noFill/>
          </a:ln>
          <a:effectLst>
            <a:outerShdw blurRad="50800" dist="38100" dir="2700000" algn="tl" rotWithShape="0">
              <a:prstClr val="black">
                <a:alpha val="4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solidFill>
          <a:ln>
            <a:noFill/>
          </a:ln>
          <a:effectLst>
            <a:outerShdw blurRad="50800" dist="38100" dir="2700000" algn="tl" rotWithShape="0">
              <a:prstClr val="black">
                <a:alpha val="40000"/>
              </a:prstClr>
            </a:outerShdw>
          </a:effectLst>
        </c:spPr>
      </c:pivotFmt>
      <c:pivotFmt>
        <c:idx val="6"/>
        <c:spPr>
          <a:solidFill>
            <a:schemeClr val="accent5"/>
          </a:solidFill>
          <a:ln>
            <a:noFill/>
          </a:ln>
          <a:effectLst>
            <a:outerShdw blurRad="50800" dist="38100" dir="2700000" algn="tl" rotWithShape="0">
              <a:prstClr val="black">
                <a:alpha val="40000"/>
              </a:prstClr>
            </a:outerShdw>
          </a:effectLst>
        </c:spPr>
      </c:pivotFmt>
    </c:pivotFmts>
    <c:plotArea>
      <c:layout>
        <c:manualLayout>
          <c:layoutTarget val="inner"/>
          <c:xMode val="edge"/>
          <c:yMode val="edge"/>
          <c:x val="8.1314460366083474E-2"/>
          <c:y val="0.1475375473899096"/>
          <c:w val="0.60059037985787023"/>
          <c:h val="0.79870178988043161"/>
        </c:manualLayout>
      </c:layout>
      <c:doughnutChart>
        <c:varyColors val="1"/>
        <c:ser>
          <c:idx val="0"/>
          <c:order val="0"/>
          <c:tx>
            <c:strRef>
              <c:f>'Pivot Report'!$E$54</c:f>
              <c:strCache>
                <c:ptCount val="1"/>
                <c:pt idx="0">
                  <c:v>Total</c:v>
                </c:pt>
              </c:strCache>
            </c:strRef>
          </c:tx>
          <c:spPr>
            <a:effectLst>
              <a:outerShdw blurRad="50800" dist="38100" dir="2700000" algn="tl" rotWithShape="0">
                <a:prstClr val="black">
                  <a:alpha val="40000"/>
                </a:prstClr>
              </a:outerShdw>
            </a:effectLst>
          </c:spPr>
          <c:dPt>
            <c:idx val="0"/>
            <c:bubble3D val="0"/>
            <c:spPr>
              <a:solidFill>
                <a:schemeClr val="accent6"/>
              </a:solidFill>
              <a:ln>
                <a:noFill/>
              </a:ln>
              <a:effectLst>
                <a:outerShdw blurRad="50800" dist="38100" dir="2700000" algn="tl" rotWithShape="0">
                  <a:prstClr val="black">
                    <a:alpha val="40000"/>
                  </a:prstClr>
                </a:outerShdw>
              </a:effectLst>
            </c:spPr>
          </c:dPt>
          <c:dPt>
            <c:idx val="1"/>
            <c:bubble3D val="0"/>
            <c:spPr>
              <a:solidFill>
                <a:schemeClr val="accent5"/>
              </a:solidFill>
              <a:ln>
                <a:noFill/>
              </a:ln>
              <a:effectLst>
                <a:outerShdw blurRad="50800" dist="38100" dir="2700000" algn="tl" rotWithShape="0">
                  <a:prstClr val="black">
                    <a:alpha val="40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Report'!$D$55:$D$57</c:f>
              <c:strCache>
                <c:ptCount val="2"/>
                <c:pt idx="0">
                  <c:v>Female</c:v>
                </c:pt>
                <c:pt idx="1">
                  <c:v>Male</c:v>
                </c:pt>
              </c:strCache>
            </c:strRef>
          </c:cat>
          <c:val>
            <c:numRef>
              <c:f>'Pivot Report'!$E$55:$E$57</c:f>
              <c:numCache>
                <c:formatCode>0.00</c:formatCode>
                <c:ptCount val="2"/>
                <c:pt idx="0">
                  <c:v>241</c:v>
                </c:pt>
                <c:pt idx="1">
                  <c:v>272</c:v>
                </c:pt>
              </c:numCache>
            </c:numRef>
          </c:val>
          <c:extLst>
            <c:ext xmlns:c16="http://schemas.microsoft.com/office/drawing/2014/chart" uri="{C3380CC4-5D6E-409C-BE32-E72D297353CC}">
              <c16:uniqueId val="{00000005-A3AA-40A0-AC36-7ABA74574AAA}"/>
            </c:ext>
          </c:extLst>
        </c:ser>
        <c:dLbls>
          <c:showLegendKey val="0"/>
          <c:showVal val="0"/>
          <c:showCatName val="0"/>
          <c:showSerName val="0"/>
          <c:showPercent val="1"/>
          <c:showBubbleSize val="0"/>
          <c:showLeaderLines val="1"/>
        </c:dLbls>
        <c:firstSliceAng val="0"/>
        <c:holeSize val="56"/>
      </c:doughnutChart>
      <c:spPr>
        <a:noFill/>
        <a:ln>
          <a:noFill/>
        </a:ln>
        <a:effectLst/>
      </c:spPr>
    </c:plotArea>
    <c:legend>
      <c:legendPos val="r"/>
      <c:layout>
        <c:manualLayout>
          <c:xMode val="edge"/>
          <c:yMode val="edge"/>
          <c:x val="0.78874406365000715"/>
          <c:y val="0.49970973680373287"/>
          <c:w val="0.18514627577558027"/>
          <c:h val="0.195313867016622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Dashborad.xlsx]Pivot Report!PivotTable11</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rPr>
              <a:t>No.</a:t>
            </a:r>
            <a:r>
              <a:rPr lang="en-US" sz="1200" b="1" baseline="0">
                <a:solidFill>
                  <a:sysClr val="windowText" lastClr="000000"/>
                </a:solidFill>
              </a:rPr>
              <a:t> of Patient by Department Referal</a:t>
            </a:r>
            <a:endParaRPr lang="en-US" sz="1200" b="1">
              <a:solidFill>
                <a:sysClr val="windowText" lastClr="000000"/>
              </a:solidFill>
            </a:endParaRPr>
          </a:p>
        </c:rich>
      </c:tx>
      <c:layout>
        <c:manualLayout>
          <c:xMode val="edge"/>
          <c:yMode val="edge"/>
          <c:x val="1.5104899966974327E-2"/>
          <c:y val="2.93542587998418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09042081660321"/>
          <c:y val="0.14236472153309604"/>
          <c:w val="0.77387356381776795"/>
          <c:h val="0.81001617948441373"/>
        </c:manualLayout>
      </c:layout>
      <c:barChart>
        <c:barDir val="bar"/>
        <c:grouping val="clustered"/>
        <c:varyColors val="0"/>
        <c:ser>
          <c:idx val="0"/>
          <c:order val="0"/>
          <c:tx>
            <c:strRef>
              <c:f>'Pivot Report'!$H$54</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Report'!$G$55:$G$63</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Report'!$H$55:$H$63</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1-BB28-4AC0-824B-289074BAFB91}"/>
            </c:ext>
          </c:extLst>
        </c:ser>
        <c:dLbls>
          <c:showLegendKey val="0"/>
          <c:showVal val="0"/>
          <c:showCatName val="0"/>
          <c:showSerName val="0"/>
          <c:showPercent val="0"/>
          <c:showBubbleSize val="0"/>
        </c:dLbls>
        <c:gapWidth val="57"/>
        <c:axId val="476859088"/>
        <c:axId val="476858128"/>
      </c:barChart>
      <c:catAx>
        <c:axId val="476859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76858128"/>
        <c:crosses val="autoZero"/>
        <c:auto val="1"/>
        <c:lblAlgn val="ctr"/>
        <c:lblOffset val="100"/>
        <c:noMultiLvlLbl val="0"/>
      </c:catAx>
      <c:valAx>
        <c:axId val="476858128"/>
        <c:scaling>
          <c:orientation val="minMax"/>
        </c:scaling>
        <c:delete val="1"/>
        <c:axPos val="b"/>
        <c:numFmt formatCode="0" sourceLinked="1"/>
        <c:majorTickMark val="none"/>
        <c:minorTickMark val="none"/>
        <c:tickLblPos val="nextTo"/>
        <c:crossAx val="476859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Dashborad.xlsx]Pivot Report!PivotTable4</c:name>
    <c:fmtId val="2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gradFill>
            <a:gsLst>
              <a:gs pos="0">
                <a:schemeClr val="lt1">
                  <a:alpha val="50000"/>
                </a:schemeClr>
              </a:gs>
              <a:gs pos="100000">
                <a:schemeClr val="lt1">
                  <a:alpha val="0"/>
                </a:schemeClr>
              </a:gs>
            </a:gsLst>
            <a:lin ang="5400000" scaled="0"/>
          </a:gradFill>
          <a:ln>
            <a:solidFill>
              <a:schemeClr val="accent6"/>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591948565904244E-2"/>
          <c:y val="0.11667432195975504"/>
          <c:w val="0.94466313121852385"/>
          <c:h val="0.66805993000874886"/>
        </c:manualLayout>
      </c:layout>
      <c:areaChart>
        <c:grouping val="standard"/>
        <c:varyColors val="0"/>
        <c:ser>
          <c:idx val="0"/>
          <c:order val="0"/>
          <c:tx>
            <c:strRef>
              <c:f>'Pivot Report'!$E$3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6"/>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6">
                          <a:lumMod val="60000"/>
                          <a:lumOff val="40000"/>
                        </a:schemeClr>
                      </a:solidFill>
                    </a:ln>
                    <a:effectLst/>
                  </c:spPr>
                </c15:leaderLines>
              </c:ext>
            </c:extLst>
          </c:dLbls>
          <c:cat>
            <c:strRef>
              <c:f>'Pivot Report'!$D$4:$D$35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Report'!$E$4:$E$35</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A611-4BEA-86B6-8E9FB38B459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929240720"/>
        <c:axId val="1929247440"/>
      </c:areaChart>
      <c:catAx>
        <c:axId val="1929240720"/>
        <c:scaling>
          <c:orientation val="minMax"/>
        </c:scaling>
        <c:delete val="0"/>
        <c:axPos val="b"/>
        <c:numFmt formatCode="General" sourceLinked="1"/>
        <c:majorTickMark val="none"/>
        <c:minorTickMark val="none"/>
        <c:tickLblPos val="nextTo"/>
        <c:spPr>
          <a:noFill/>
          <a:ln w="9525" cap="flat" cmpd="sng" algn="ctr">
            <a:solidFill>
              <a:schemeClr val="accent6">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29247440"/>
        <c:crosses val="autoZero"/>
        <c:auto val="1"/>
        <c:lblAlgn val="ctr"/>
        <c:lblOffset val="100"/>
        <c:noMultiLvlLbl val="0"/>
      </c:catAx>
      <c:valAx>
        <c:axId val="1929247440"/>
        <c:scaling>
          <c:orientation val="minMax"/>
        </c:scaling>
        <c:delete val="1"/>
        <c:axPos val="l"/>
        <c:numFmt formatCode="General" sourceLinked="1"/>
        <c:majorTickMark val="out"/>
        <c:minorTickMark val="none"/>
        <c:tickLblPos val="nextTo"/>
        <c:crossAx val="1929240720"/>
        <c:crosses val="autoZero"/>
        <c:crossBetween val="midCat"/>
      </c:valAx>
      <c:spPr>
        <a:noFill/>
        <a:ln>
          <a:noFill/>
        </a:ln>
        <a:effectLst/>
      </c:spPr>
    </c:plotArea>
    <c:plotVisOnly val="1"/>
    <c:dispBlanksAs val="zero"/>
    <c:showDLblsOverMax val="0"/>
    <c:extLst/>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Dashborad.xlsx]Pivot Report!PivotTable5</c:name>
    <c:fmtId val="3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6"/>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346505883551703E-2"/>
          <c:y val="1.2921247930241698E-2"/>
          <c:w val="0.95636605916228346"/>
          <c:h val="0.83606104645391344"/>
        </c:manualLayout>
      </c:layout>
      <c:areaChart>
        <c:grouping val="standard"/>
        <c:varyColors val="0"/>
        <c:ser>
          <c:idx val="0"/>
          <c:order val="0"/>
          <c:tx>
            <c:strRef>
              <c:f>'Pivot Report'!$I$3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6"/>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6">
                          <a:lumMod val="60000"/>
                          <a:lumOff val="40000"/>
                        </a:schemeClr>
                      </a:solidFill>
                    </a:ln>
                    <a:effectLst/>
                  </c:spPr>
                </c15:leaderLines>
              </c:ext>
            </c:extLst>
          </c:dLbls>
          <c:cat>
            <c:strRef>
              <c:f>'Pivot Report'!$H$4:$H$35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Report'!$I$4:$I$35</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2DE5-4834-B377-4A0EB90B8A82}"/>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406874960"/>
        <c:axId val="406875440"/>
      </c:areaChart>
      <c:catAx>
        <c:axId val="406874960"/>
        <c:scaling>
          <c:orientation val="minMax"/>
        </c:scaling>
        <c:delete val="0"/>
        <c:axPos val="b"/>
        <c:numFmt formatCode="General" sourceLinked="1"/>
        <c:majorTickMark val="none"/>
        <c:minorTickMark val="none"/>
        <c:tickLblPos val="nextTo"/>
        <c:spPr>
          <a:noFill/>
          <a:ln w="9525" cap="flat" cmpd="sng" algn="ctr">
            <a:solidFill>
              <a:schemeClr val="accent6">
                <a:lumMod val="40000"/>
                <a:lumOff val="60000"/>
                <a:alpha val="25000"/>
              </a:schemeClr>
            </a:solidFill>
            <a:round/>
          </a:ln>
          <a:effectLst/>
        </c:spPr>
        <c:txPr>
          <a:bodyPr rot="-60000000" spcFirstLastPara="1" vertOverflow="ellipsis" vert="horz" wrap="square" anchor="ctr" anchorCtr="1"/>
          <a:lstStyle/>
          <a:p>
            <a:pPr>
              <a:defRPr sz="1200" b="0" i="0" u="none" strike="noStrike" kern="1200" baseline="0">
                <a:solidFill>
                  <a:schemeClr val="lt1"/>
                </a:solidFill>
                <a:latin typeface="+mn-lt"/>
                <a:ea typeface="+mn-ea"/>
                <a:cs typeface="+mn-cs"/>
              </a:defRPr>
            </a:pPr>
            <a:endParaRPr lang="en-US"/>
          </a:p>
        </c:txPr>
        <c:crossAx val="406875440"/>
        <c:crosses val="autoZero"/>
        <c:auto val="1"/>
        <c:lblAlgn val="ctr"/>
        <c:lblOffset val="100"/>
        <c:noMultiLvlLbl val="0"/>
      </c:catAx>
      <c:valAx>
        <c:axId val="406875440"/>
        <c:scaling>
          <c:orientation val="minMax"/>
        </c:scaling>
        <c:delete val="1"/>
        <c:axPos val="l"/>
        <c:numFmt formatCode="0.00" sourceLinked="1"/>
        <c:majorTickMark val="out"/>
        <c:minorTickMark val="none"/>
        <c:tickLblPos val="nextTo"/>
        <c:crossAx val="4068749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Dashborad.xlsx]Pivot Report!PivotTable6</c:name>
    <c:fmtId val="3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6"/>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312361240817205E-2"/>
          <c:y val="3.3454987834549879E-2"/>
          <c:w val="0.95335240583174252"/>
          <c:h val="0.81083251911029375"/>
        </c:manualLayout>
      </c:layout>
      <c:areaChart>
        <c:grouping val="standard"/>
        <c:varyColors val="0"/>
        <c:ser>
          <c:idx val="0"/>
          <c:order val="0"/>
          <c:tx>
            <c:strRef>
              <c:f>'Pivot Report'!$M$3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6"/>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6">
                          <a:lumMod val="60000"/>
                          <a:lumOff val="40000"/>
                        </a:schemeClr>
                      </a:solidFill>
                    </a:ln>
                    <a:effectLst/>
                  </c:spPr>
                </c15:leaderLines>
              </c:ext>
            </c:extLst>
          </c:dLbls>
          <c:cat>
            <c:strRef>
              <c:f>'Pivot Report'!$L$4:$L$35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Report'!$M$4:$M$35</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F829-4CB5-AF61-A4D7714666C1}"/>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937225600"/>
        <c:axId val="1937224160"/>
      </c:areaChart>
      <c:catAx>
        <c:axId val="1937225600"/>
        <c:scaling>
          <c:orientation val="minMax"/>
        </c:scaling>
        <c:delete val="0"/>
        <c:axPos val="b"/>
        <c:numFmt formatCode="General" sourceLinked="1"/>
        <c:majorTickMark val="none"/>
        <c:minorTickMark val="none"/>
        <c:tickLblPos val="nextTo"/>
        <c:spPr>
          <a:noFill/>
          <a:ln w="9525" cap="flat" cmpd="sng" algn="ctr">
            <a:solidFill>
              <a:schemeClr val="accent6">
                <a:lumMod val="40000"/>
                <a:lumOff val="60000"/>
                <a:alpha val="25000"/>
              </a:schemeClr>
            </a:solidFill>
            <a:round/>
          </a:ln>
          <a:effectLst/>
        </c:spPr>
        <c:txPr>
          <a:bodyPr rot="-60000000" spcFirstLastPara="1" vertOverflow="ellipsis" vert="horz" wrap="square" anchor="ctr" anchorCtr="1"/>
          <a:lstStyle/>
          <a:p>
            <a:pPr>
              <a:defRPr sz="1200" b="0" i="0" u="none" strike="noStrike" kern="1200" baseline="0">
                <a:solidFill>
                  <a:schemeClr val="lt1"/>
                </a:solidFill>
                <a:latin typeface="+mn-lt"/>
                <a:ea typeface="+mn-ea"/>
                <a:cs typeface="+mn-cs"/>
              </a:defRPr>
            </a:pPr>
            <a:endParaRPr lang="en-US"/>
          </a:p>
        </c:txPr>
        <c:crossAx val="1937224160"/>
        <c:crosses val="autoZero"/>
        <c:auto val="1"/>
        <c:lblAlgn val="ctr"/>
        <c:lblOffset val="100"/>
        <c:noMultiLvlLbl val="0"/>
      </c:catAx>
      <c:valAx>
        <c:axId val="1937224160"/>
        <c:scaling>
          <c:orientation val="minMax"/>
        </c:scaling>
        <c:delete val="1"/>
        <c:axPos val="l"/>
        <c:numFmt formatCode="0.00" sourceLinked="1"/>
        <c:majorTickMark val="out"/>
        <c:minorTickMark val="none"/>
        <c:tickLblPos val="nextTo"/>
        <c:crossAx val="193722560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 trend'!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Wait time Daily Trend'!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3.svg"/></Relationships>
</file>

<file path=xl/drawings/_rels/drawing5.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4.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2</xdr:col>
      <xdr:colOff>571500</xdr:colOff>
      <xdr:row>41</xdr:row>
      <xdr:rowOff>175260</xdr:rowOff>
    </xdr:from>
    <xdr:to>
      <xdr:col>4</xdr:col>
      <xdr:colOff>0</xdr:colOff>
      <xdr:row>45</xdr:row>
      <xdr:rowOff>129540</xdr:rowOff>
    </xdr:to>
    <xdr:graphicFrame macro="">
      <xdr:nvGraphicFramePr>
        <xdr:cNvPr id="6" name="Chart 5">
          <a:extLst>
            <a:ext uri="{FF2B5EF4-FFF2-40B4-BE49-F238E27FC236}">
              <a16:creationId xmlns:a16="http://schemas.microsoft.com/office/drawing/2014/main" id="{1B82365B-C8FE-B456-B8C6-701956A7F6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53340</xdr:colOff>
      <xdr:row>0</xdr:row>
      <xdr:rowOff>30480</xdr:rowOff>
    </xdr:from>
    <xdr:to>
      <xdr:col>9</xdr:col>
      <xdr:colOff>350520</xdr:colOff>
      <xdr:row>4</xdr:row>
      <xdr:rowOff>137160</xdr:rowOff>
    </xdr:to>
    <xdr:sp macro="" textlink="">
      <xdr:nvSpPr>
        <xdr:cNvPr id="2" name="Rectangle: Rounded Corners 1">
          <a:extLst>
            <a:ext uri="{FF2B5EF4-FFF2-40B4-BE49-F238E27FC236}">
              <a16:creationId xmlns:a16="http://schemas.microsoft.com/office/drawing/2014/main" id="{7AF074A8-CFAA-69BF-4B69-8194B1DD3960}"/>
            </a:ext>
          </a:extLst>
        </xdr:cNvPr>
        <xdr:cNvSpPr/>
      </xdr:nvSpPr>
      <xdr:spPr>
        <a:xfrm>
          <a:off x="53340" y="30480"/>
          <a:ext cx="5783580" cy="838200"/>
        </a:xfrm>
        <a:prstGeom prst="roundRect">
          <a:avLst>
            <a:gd name="adj" fmla="val 7738"/>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381000</xdr:colOff>
      <xdr:row>0</xdr:row>
      <xdr:rowOff>30480</xdr:rowOff>
    </xdr:from>
    <xdr:to>
      <xdr:col>13</xdr:col>
      <xdr:colOff>381000</xdr:colOff>
      <xdr:row>4</xdr:row>
      <xdr:rowOff>144780</xdr:rowOff>
    </xdr:to>
    <xdr:sp macro="" textlink="">
      <xdr:nvSpPr>
        <xdr:cNvPr id="3" name="Rectangle: Rounded Corners 2">
          <a:extLst>
            <a:ext uri="{FF2B5EF4-FFF2-40B4-BE49-F238E27FC236}">
              <a16:creationId xmlns:a16="http://schemas.microsoft.com/office/drawing/2014/main" id="{C9F67FB0-AAB2-AFF8-F225-1FF2CE0021AE}"/>
            </a:ext>
          </a:extLst>
        </xdr:cNvPr>
        <xdr:cNvSpPr/>
      </xdr:nvSpPr>
      <xdr:spPr>
        <a:xfrm>
          <a:off x="5867400" y="30480"/>
          <a:ext cx="2438400" cy="845820"/>
        </a:xfrm>
        <a:prstGeom prst="roundRect">
          <a:avLst>
            <a:gd name="adj" fmla="val 7738"/>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181546</xdr:colOff>
      <xdr:row>4</xdr:row>
      <xdr:rowOff>175260</xdr:rowOff>
    </xdr:from>
    <xdr:to>
      <xdr:col>5</xdr:col>
      <xdr:colOff>577101</xdr:colOff>
      <xdr:row>10</xdr:row>
      <xdr:rowOff>23662</xdr:rowOff>
    </xdr:to>
    <xdr:sp macro="" textlink="">
      <xdr:nvSpPr>
        <xdr:cNvPr id="4" name="Rectangle: Rounded Corners 3">
          <a:extLst>
            <a:ext uri="{FF2B5EF4-FFF2-40B4-BE49-F238E27FC236}">
              <a16:creationId xmlns:a16="http://schemas.microsoft.com/office/drawing/2014/main" id="{860DA43D-8A8A-EA38-4259-9BB380EFB725}"/>
            </a:ext>
          </a:extLst>
        </xdr:cNvPr>
        <xdr:cNvSpPr/>
      </xdr:nvSpPr>
      <xdr:spPr>
        <a:xfrm>
          <a:off x="1400746" y="906780"/>
          <a:ext cx="2224355" cy="945682"/>
        </a:xfrm>
        <a:prstGeom prst="roundRect">
          <a:avLst>
            <a:gd name="adj" fmla="val 7738"/>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24754</xdr:colOff>
      <xdr:row>4</xdr:row>
      <xdr:rowOff>175260</xdr:rowOff>
    </xdr:from>
    <xdr:to>
      <xdr:col>9</xdr:col>
      <xdr:colOff>388981</xdr:colOff>
      <xdr:row>10</xdr:row>
      <xdr:rowOff>16042</xdr:rowOff>
    </xdr:to>
    <xdr:sp macro="" textlink="">
      <xdr:nvSpPr>
        <xdr:cNvPr id="5" name="Rectangle: Rounded Corners 4">
          <a:extLst>
            <a:ext uri="{FF2B5EF4-FFF2-40B4-BE49-F238E27FC236}">
              <a16:creationId xmlns:a16="http://schemas.microsoft.com/office/drawing/2014/main" id="{66505D63-8B8D-EA55-D44C-6EBA23B9F0EE}"/>
            </a:ext>
          </a:extLst>
        </xdr:cNvPr>
        <xdr:cNvSpPr/>
      </xdr:nvSpPr>
      <xdr:spPr>
        <a:xfrm>
          <a:off x="3682354" y="906780"/>
          <a:ext cx="2193027" cy="938062"/>
        </a:xfrm>
        <a:prstGeom prst="roundRect">
          <a:avLst>
            <a:gd name="adj" fmla="val 7738"/>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447509</xdr:colOff>
      <xdr:row>5</xdr:row>
      <xdr:rowOff>0</xdr:rowOff>
    </xdr:from>
    <xdr:to>
      <xdr:col>13</xdr:col>
      <xdr:colOff>379666</xdr:colOff>
      <xdr:row>10</xdr:row>
      <xdr:rowOff>15841</xdr:rowOff>
    </xdr:to>
    <xdr:sp macro="" textlink="">
      <xdr:nvSpPr>
        <xdr:cNvPr id="6" name="Rectangle: Rounded Corners 5">
          <a:extLst>
            <a:ext uri="{FF2B5EF4-FFF2-40B4-BE49-F238E27FC236}">
              <a16:creationId xmlns:a16="http://schemas.microsoft.com/office/drawing/2014/main" id="{FE4EFDC3-0AB1-B7EE-9A72-9FC0185877CE}"/>
            </a:ext>
          </a:extLst>
        </xdr:cNvPr>
        <xdr:cNvSpPr/>
      </xdr:nvSpPr>
      <xdr:spPr>
        <a:xfrm>
          <a:off x="5933909" y="914400"/>
          <a:ext cx="2370557" cy="930241"/>
        </a:xfrm>
        <a:prstGeom prst="roundRect">
          <a:avLst>
            <a:gd name="adj" fmla="val 7738"/>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64714</xdr:colOff>
      <xdr:row>4</xdr:row>
      <xdr:rowOff>175260</xdr:rowOff>
    </xdr:from>
    <xdr:to>
      <xdr:col>2</xdr:col>
      <xdr:colOff>129540</xdr:colOff>
      <xdr:row>27</xdr:row>
      <xdr:rowOff>53340</xdr:rowOff>
    </xdr:to>
    <xdr:sp macro="" textlink="">
      <xdr:nvSpPr>
        <xdr:cNvPr id="8" name="Rectangle: Rounded Corners 7">
          <a:extLst>
            <a:ext uri="{FF2B5EF4-FFF2-40B4-BE49-F238E27FC236}">
              <a16:creationId xmlns:a16="http://schemas.microsoft.com/office/drawing/2014/main" id="{F5485C29-EC73-CC50-6FB1-1FE6972B10A7}"/>
            </a:ext>
          </a:extLst>
        </xdr:cNvPr>
        <xdr:cNvSpPr/>
      </xdr:nvSpPr>
      <xdr:spPr>
        <a:xfrm>
          <a:off x="64714" y="906780"/>
          <a:ext cx="1284026" cy="4084320"/>
        </a:xfrm>
        <a:prstGeom prst="roundRect">
          <a:avLst>
            <a:gd name="adj" fmla="val 7738"/>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189166</xdr:colOff>
      <xdr:row>10</xdr:row>
      <xdr:rowOff>60960</xdr:rowOff>
    </xdr:from>
    <xdr:to>
      <xdr:col>13</xdr:col>
      <xdr:colOff>381000</xdr:colOff>
      <xdr:row>14</xdr:row>
      <xdr:rowOff>145582</xdr:rowOff>
    </xdr:to>
    <xdr:sp macro="" textlink="">
      <xdr:nvSpPr>
        <xdr:cNvPr id="11" name="Rectangle: Rounded Corners 10">
          <a:extLst>
            <a:ext uri="{FF2B5EF4-FFF2-40B4-BE49-F238E27FC236}">
              <a16:creationId xmlns:a16="http://schemas.microsoft.com/office/drawing/2014/main" id="{6358E2BF-0E9E-7988-348F-B2D6B299E64B}"/>
            </a:ext>
          </a:extLst>
        </xdr:cNvPr>
        <xdr:cNvSpPr/>
      </xdr:nvSpPr>
      <xdr:spPr>
        <a:xfrm>
          <a:off x="1408366" y="1889760"/>
          <a:ext cx="6897434" cy="816142"/>
        </a:xfrm>
        <a:prstGeom prst="roundRect">
          <a:avLst>
            <a:gd name="adj" fmla="val 7738"/>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189166</xdr:colOff>
      <xdr:row>15</xdr:row>
      <xdr:rowOff>7620</xdr:rowOff>
    </xdr:from>
    <xdr:to>
      <xdr:col>13</xdr:col>
      <xdr:colOff>381000</xdr:colOff>
      <xdr:row>27</xdr:row>
      <xdr:rowOff>68580</xdr:rowOff>
    </xdr:to>
    <xdr:sp macro="" textlink="">
      <xdr:nvSpPr>
        <xdr:cNvPr id="12" name="Rectangle: Rounded Corners 11">
          <a:extLst>
            <a:ext uri="{FF2B5EF4-FFF2-40B4-BE49-F238E27FC236}">
              <a16:creationId xmlns:a16="http://schemas.microsoft.com/office/drawing/2014/main" id="{0059576B-D96A-57BC-FA21-D0389EF9D9A4}"/>
            </a:ext>
          </a:extLst>
        </xdr:cNvPr>
        <xdr:cNvSpPr/>
      </xdr:nvSpPr>
      <xdr:spPr>
        <a:xfrm>
          <a:off x="1408366" y="2750820"/>
          <a:ext cx="6897434" cy="2255520"/>
        </a:xfrm>
        <a:prstGeom prst="roundRect">
          <a:avLst>
            <a:gd name="adj" fmla="val 7738"/>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13</xdr:col>
      <xdr:colOff>434340</xdr:colOff>
      <xdr:row>0</xdr:row>
      <xdr:rowOff>38100</xdr:rowOff>
    </xdr:from>
    <xdr:to>
      <xdr:col>18</xdr:col>
      <xdr:colOff>182880</xdr:colOff>
      <xdr:row>12</xdr:row>
      <xdr:rowOff>30480</xdr:rowOff>
    </xdr:to>
    <xdr:sp macro="" textlink="">
      <xdr:nvSpPr>
        <xdr:cNvPr id="13" name="Rectangle: Rounded Corners 12">
          <a:extLst>
            <a:ext uri="{FF2B5EF4-FFF2-40B4-BE49-F238E27FC236}">
              <a16:creationId xmlns:a16="http://schemas.microsoft.com/office/drawing/2014/main" id="{1E0788F1-B9BE-196E-64E3-C2DE007D351E}"/>
            </a:ext>
          </a:extLst>
        </xdr:cNvPr>
        <xdr:cNvSpPr/>
      </xdr:nvSpPr>
      <xdr:spPr>
        <a:xfrm>
          <a:off x="8359140" y="38100"/>
          <a:ext cx="2796540" cy="2186940"/>
        </a:xfrm>
        <a:prstGeom prst="roundRect">
          <a:avLst>
            <a:gd name="adj" fmla="val 7738"/>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18</xdr:col>
      <xdr:colOff>251460</xdr:colOff>
      <xdr:row>0</xdr:row>
      <xdr:rowOff>45720</xdr:rowOff>
    </xdr:from>
    <xdr:to>
      <xdr:col>23</xdr:col>
      <xdr:colOff>83820</xdr:colOff>
      <xdr:row>12</xdr:row>
      <xdr:rowOff>30480</xdr:rowOff>
    </xdr:to>
    <xdr:sp macro="" textlink="">
      <xdr:nvSpPr>
        <xdr:cNvPr id="14" name="Rectangle: Rounded Corners 13">
          <a:extLst>
            <a:ext uri="{FF2B5EF4-FFF2-40B4-BE49-F238E27FC236}">
              <a16:creationId xmlns:a16="http://schemas.microsoft.com/office/drawing/2014/main" id="{929CBA1D-9EE1-8E0F-3379-EE096642B49C}"/>
            </a:ext>
          </a:extLst>
        </xdr:cNvPr>
        <xdr:cNvSpPr/>
      </xdr:nvSpPr>
      <xdr:spPr>
        <a:xfrm>
          <a:off x="11224260" y="45720"/>
          <a:ext cx="2880360" cy="2179320"/>
        </a:xfrm>
        <a:prstGeom prst="roundRect">
          <a:avLst>
            <a:gd name="adj" fmla="val 7738"/>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13</xdr:col>
      <xdr:colOff>434340</xdr:colOff>
      <xdr:row>12</xdr:row>
      <xdr:rowOff>91440</xdr:rowOff>
    </xdr:from>
    <xdr:to>
      <xdr:col>23</xdr:col>
      <xdr:colOff>91440</xdr:colOff>
      <xdr:row>27</xdr:row>
      <xdr:rowOff>106680</xdr:rowOff>
    </xdr:to>
    <xdr:sp macro="" textlink="">
      <xdr:nvSpPr>
        <xdr:cNvPr id="15" name="Rectangle: Rounded Corners 14">
          <a:extLst>
            <a:ext uri="{FF2B5EF4-FFF2-40B4-BE49-F238E27FC236}">
              <a16:creationId xmlns:a16="http://schemas.microsoft.com/office/drawing/2014/main" id="{5892617D-90EA-FF82-666F-450F9F5E844C}"/>
            </a:ext>
          </a:extLst>
        </xdr:cNvPr>
        <xdr:cNvSpPr/>
      </xdr:nvSpPr>
      <xdr:spPr>
        <a:xfrm>
          <a:off x="8359140" y="2286000"/>
          <a:ext cx="5753100" cy="2758440"/>
        </a:xfrm>
        <a:prstGeom prst="roundRect">
          <a:avLst>
            <a:gd name="adj" fmla="val 7738"/>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502920</xdr:colOff>
      <xdr:row>0</xdr:row>
      <xdr:rowOff>91440</xdr:rowOff>
    </xdr:from>
    <xdr:to>
      <xdr:col>9</xdr:col>
      <xdr:colOff>15240</xdr:colOff>
      <xdr:row>2</xdr:row>
      <xdr:rowOff>99060</xdr:rowOff>
    </xdr:to>
    <xdr:sp macro="" textlink="">
      <xdr:nvSpPr>
        <xdr:cNvPr id="17" name="TextBox 16">
          <a:extLst>
            <a:ext uri="{FF2B5EF4-FFF2-40B4-BE49-F238E27FC236}">
              <a16:creationId xmlns:a16="http://schemas.microsoft.com/office/drawing/2014/main" id="{B93D339B-CCFC-3CAE-BC99-8BEC5DC7BEA5}"/>
            </a:ext>
          </a:extLst>
        </xdr:cNvPr>
        <xdr:cNvSpPr txBox="1"/>
      </xdr:nvSpPr>
      <xdr:spPr>
        <a:xfrm>
          <a:off x="1722120" y="91440"/>
          <a:ext cx="377952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800" b="1">
              <a:solidFill>
                <a:schemeClr val="accent6">
                  <a:lumMod val="75000"/>
                </a:schemeClr>
              </a:solidFill>
              <a:latin typeface="Aptos Narrow" panose="020B0004020202020204" pitchFamily="34" charset="0"/>
            </a:rPr>
            <a:t>Hospital </a:t>
          </a:r>
          <a:r>
            <a:rPr lang="en-IN" sz="2000" b="1">
              <a:solidFill>
                <a:schemeClr val="accent6">
                  <a:lumMod val="75000"/>
                </a:schemeClr>
              </a:solidFill>
              <a:latin typeface="Aptos Narrow" panose="020B0004020202020204" pitchFamily="34" charset="0"/>
            </a:rPr>
            <a:t>emergency</a:t>
          </a:r>
          <a:r>
            <a:rPr lang="en-IN" sz="1800" b="1">
              <a:solidFill>
                <a:schemeClr val="accent6">
                  <a:lumMod val="75000"/>
                </a:schemeClr>
              </a:solidFill>
              <a:latin typeface="Aptos Narrow" panose="020B0004020202020204" pitchFamily="34" charset="0"/>
            </a:rPr>
            <a:t> Room Dashboard</a:t>
          </a:r>
        </a:p>
      </xdr:txBody>
    </xdr:sp>
    <xdr:clientData/>
  </xdr:twoCellAnchor>
  <xdr:twoCellAnchor editAs="oneCell">
    <xdr:from>
      <xdr:col>0</xdr:col>
      <xdr:colOff>182880</xdr:colOff>
      <xdr:row>0</xdr:row>
      <xdr:rowOff>0</xdr:rowOff>
    </xdr:from>
    <xdr:to>
      <xdr:col>2</xdr:col>
      <xdr:colOff>304800</xdr:colOff>
      <xdr:row>5</xdr:row>
      <xdr:rowOff>91440</xdr:rowOff>
    </xdr:to>
    <xdr:pic>
      <xdr:nvPicPr>
        <xdr:cNvPr id="19" name="Picture 18">
          <a:extLst>
            <a:ext uri="{FF2B5EF4-FFF2-40B4-BE49-F238E27FC236}">
              <a16:creationId xmlns:a16="http://schemas.microsoft.com/office/drawing/2014/main" id="{797E7948-7FB8-0AE4-C1D3-F3572531C44F}"/>
            </a:ext>
          </a:extLst>
        </xdr:cNvPr>
        <xdr:cNvPicPr>
          <a:picLocks noChangeAspect="1"/>
        </xdr:cNvPicPr>
      </xdr:nvPicPr>
      <xdr:blipFill>
        <a:blip xmlns:r="http://schemas.openxmlformats.org/officeDocument/2006/relationships" r:embed="rId1">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182880" y="0"/>
          <a:ext cx="1341120" cy="1005840"/>
        </a:xfrm>
        <a:prstGeom prst="rect">
          <a:avLst/>
        </a:prstGeom>
      </xdr:spPr>
    </xdr:pic>
    <xdr:clientData/>
  </xdr:twoCellAnchor>
  <xdr:twoCellAnchor editAs="absolute">
    <xdr:from>
      <xdr:col>4</xdr:col>
      <xdr:colOff>297180</xdr:colOff>
      <xdr:row>2</xdr:row>
      <xdr:rowOff>121920</xdr:rowOff>
    </xdr:from>
    <xdr:to>
      <xdr:col>7</xdr:col>
      <xdr:colOff>251460</xdr:colOff>
      <xdr:row>4</xdr:row>
      <xdr:rowOff>0</xdr:rowOff>
    </xdr:to>
    <xdr:sp macro="" textlink="">
      <xdr:nvSpPr>
        <xdr:cNvPr id="20" name="TextBox 19">
          <a:extLst>
            <a:ext uri="{FF2B5EF4-FFF2-40B4-BE49-F238E27FC236}">
              <a16:creationId xmlns:a16="http://schemas.microsoft.com/office/drawing/2014/main" id="{ECA8930C-443E-FE76-68CD-EA226050C504}"/>
            </a:ext>
          </a:extLst>
        </xdr:cNvPr>
        <xdr:cNvSpPr txBox="1"/>
      </xdr:nvSpPr>
      <xdr:spPr>
        <a:xfrm>
          <a:off x="2735580" y="487680"/>
          <a:ext cx="178308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b="1">
              <a:solidFill>
                <a:schemeClr val="accent6">
                  <a:lumMod val="75000"/>
                </a:schemeClr>
              </a:solidFill>
              <a:latin typeface="Aptos Narrow" panose="020B0004020202020204" pitchFamily="34" charset="0"/>
            </a:rPr>
            <a:t>Monthly</a:t>
          </a:r>
          <a:r>
            <a:rPr lang="en-IN" sz="1400" b="1" baseline="0">
              <a:solidFill>
                <a:schemeClr val="accent6">
                  <a:lumMod val="75000"/>
                </a:schemeClr>
              </a:solidFill>
              <a:latin typeface="Aptos Narrow" panose="020B0004020202020204" pitchFamily="34" charset="0"/>
            </a:rPr>
            <a:t> Report</a:t>
          </a:r>
          <a:endParaRPr lang="en-IN" sz="1400" b="1">
            <a:solidFill>
              <a:schemeClr val="accent6">
                <a:lumMod val="75000"/>
              </a:schemeClr>
            </a:solidFill>
            <a:latin typeface="Aptos Narrow" panose="020B0004020202020204" pitchFamily="34" charset="0"/>
          </a:endParaRPr>
        </a:p>
      </xdr:txBody>
    </xdr:sp>
    <xdr:clientData/>
  </xdr:twoCellAnchor>
  <xdr:twoCellAnchor editAs="absolute">
    <xdr:from>
      <xdr:col>2</xdr:col>
      <xdr:colOff>533400</xdr:colOff>
      <xdr:row>5</xdr:row>
      <xdr:rowOff>30480</xdr:rowOff>
    </xdr:from>
    <xdr:to>
      <xdr:col>5</xdr:col>
      <xdr:colOff>228600</xdr:colOff>
      <xdr:row>6</xdr:row>
      <xdr:rowOff>121920</xdr:rowOff>
    </xdr:to>
    <xdr:sp macro="" textlink="'Pivot Report'!A2">
      <xdr:nvSpPr>
        <xdr:cNvPr id="23" name="TextBox 22">
          <a:extLst>
            <a:ext uri="{FF2B5EF4-FFF2-40B4-BE49-F238E27FC236}">
              <a16:creationId xmlns:a16="http://schemas.microsoft.com/office/drawing/2014/main" id="{F5626FBB-7F69-A6A0-5919-9590485FCE08}"/>
            </a:ext>
          </a:extLst>
        </xdr:cNvPr>
        <xdr:cNvSpPr txBox="1"/>
      </xdr:nvSpPr>
      <xdr:spPr>
        <a:xfrm>
          <a:off x="1752600" y="944880"/>
          <a:ext cx="15240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534F55EA-2F70-4D39-AC54-0E960912E138}" type="TxLink">
            <a:rPr lang="en-US" sz="1800" b="1" i="0" u="none" strike="noStrike">
              <a:solidFill>
                <a:schemeClr val="accent6">
                  <a:lumMod val="75000"/>
                </a:schemeClr>
              </a:solidFill>
              <a:latin typeface="Calibri"/>
              <a:ea typeface="Calibri"/>
              <a:cs typeface="Calibri"/>
            </a:rPr>
            <a:pPr algn="ctr"/>
            <a:t>513</a:t>
          </a:fld>
          <a:endParaRPr lang="en-IN" sz="1800" b="1">
            <a:solidFill>
              <a:schemeClr val="accent6">
                <a:lumMod val="75000"/>
              </a:schemeClr>
            </a:solidFill>
          </a:endParaRPr>
        </a:p>
      </xdr:txBody>
    </xdr:sp>
    <xdr:clientData/>
  </xdr:twoCellAnchor>
  <xdr:twoCellAnchor editAs="absolute">
    <xdr:from>
      <xdr:col>2</xdr:col>
      <xdr:colOff>205740</xdr:colOff>
      <xdr:row>6</xdr:row>
      <xdr:rowOff>83820</xdr:rowOff>
    </xdr:from>
    <xdr:to>
      <xdr:col>5</xdr:col>
      <xdr:colOff>563880</xdr:colOff>
      <xdr:row>8</xdr:row>
      <xdr:rowOff>7620</xdr:rowOff>
    </xdr:to>
    <xdr:sp macro="" textlink="">
      <xdr:nvSpPr>
        <xdr:cNvPr id="24" name="TextBox 23">
          <a:extLst>
            <a:ext uri="{FF2B5EF4-FFF2-40B4-BE49-F238E27FC236}">
              <a16:creationId xmlns:a16="http://schemas.microsoft.com/office/drawing/2014/main" id="{EDA2256A-127A-730F-DE5B-EE396A2A4902}"/>
            </a:ext>
          </a:extLst>
        </xdr:cNvPr>
        <xdr:cNvSpPr txBox="1"/>
      </xdr:nvSpPr>
      <xdr:spPr>
        <a:xfrm>
          <a:off x="1424940" y="1181100"/>
          <a:ext cx="21869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b="1" i="0" u="none" strike="noStrike">
              <a:solidFill>
                <a:srgbClr val="000000"/>
              </a:solidFill>
              <a:latin typeface="Calibri"/>
              <a:ea typeface="Calibri"/>
              <a:cs typeface="Calibri"/>
            </a:rPr>
            <a:t>No.</a:t>
          </a:r>
          <a:r>
            <a:rPr lang="en-IN" sz="1200" b="1" i="0" u="none" strike="noStrike" baseline="0">
              <a:solidFill>
                <a:srgbClr val="000000"/>
              </a:solidFill>
              <a:latin typeface="Calibri"/>
              <a:ea typeface="Calibri"/>
              <a:cs typeface="Calibri"/>
            </a:rPr>
            <a:t> of Patient</a:t>
          </a:r>
          <a:endParaRPr lang="en-IN" sz="1200" b="1" i="0" u="none" strike="noStrike">
            <a:solidFill>
              <a:srgbClr val="000000"/>
            </a:solidFill>
            <a:latin typeface="Calibri"/>
            <a:ea typeface="Calibri"/>
            <a:cs typeface="Calibri"/>
          </a:endParaRPr>
        </a:p>
      </xdr:txBody>
    </xdr:sp>
    <xdr:clientData/>
  </xdr:twoCellAnchor>
  <xdr:twoCellAnchor editAs="absolute">
    <xdr:from>
      <xdr:col>6</xdr:col>
      <xdr:colOff>358140</xdr:colOff>
      <xdr:row>5</xdr:row>
      <xdr:rowOff>30480</xdr:rowOff>
    </xdr:from>
    <xdr:to>
      <xdr:col>9</xdr:col>
      <xdr:colOff>53340</xdr:colOff>
      <xdr:row>6</xdr:row>
      <xdr:rowOff>121920</xdr:rowOff>
    </xdr:to>
    <xdr:sp macro="" textlink="'Pivot Report'!B5">
      <xdr:nvSpPr>
        <xdr:cNvPr id="25" name="TextBox 24">
          <a:extLst>
            <a:ext uri="{FF2B5EF4-FFF2-40B4-BE49-F238E27FC236}">
              <a16:creationId xmlns:a16="http://schemas.microsoft.com/office/drawing/2014/main" id="{B0D1E410-7841-E96E-3854-4E9BA5DAF036}"/>
            </a:ext>
          </a:extLst>
        </xdr:cNvPr>
        <xdr:cNvSpPr txBox="1"/>
      </xdr:nvSpPr>
      <xdr:spPr>
        <a:xfrm>
          <a:off x="4015740" y="944880"/>
          <a:ext cx="15240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indent="0" algn="ctr"/>
          <a:fld id="{3D276333-022D-45D4-9F3C-783B9235B48D}" type="TxLink">
            <a:rPr lang="en-US" sz="1800" b="1" i="0" u="none" strike="noStrike">
              <a:solidFill>
                <a:schemeClr val="accent6">
                  <a:lumMod val="75000"/>
                </a:schemeClr>
              </a:solidFill>
              <a:latin typeface="Calibri"/>
              <a:ea typeface="Calibri"/>
              <a:cs typeface="Calibri"/>
            </a:rPr>
            <a:pPr marL="0" indent="0" algn="ctr"/>
            <a:t>36.32</a:t>
          </a:fld>
          <a:endParaRPr lang="en-IN" sz="1800" b="1" i="0" u="none" strike="noStrike">
            <a:solidFill>
              <a:schemeClr val="accent6">
                <a:lumMod val="75000"/>
              </a:schemeClr>
            </a:solidFill>
            <a:latin typeface="Calibri"/>
            <a:ea typeface="Calibri"/>
            <a:cs typeface="Calibri"/>
          </a:endParaRPr>
        </a:p>
      </xdr:txBody>
    </xdr:sp>
    <xdr:clientData/>
  </xdr:twoCellAnchor>
  <xdr:twoCellAnchor editAs="absolute">
    <xdr:from>
      <xdr:col>6</xdr:col>
      <xdr:colOff>76200</xdr:colOff>
      <xdr:row>6</xdr:row>
      <xdr:rowOff>83820</xdr:rowOff>
    </xdr:from>
    <xdr:to>
      <xdr:col>9</xdr:col>
      <xdr:colOff>350520</xdr:colOff>
      <xdr:row>8</xdr:row>
      <xdr:rowOff>7620</xdr:rowOff>
    </xdr:to>
    <xdr:sp macro="" textlink="">
      <xdr:nvSpPr>
        <xdr:cNvPr id="26" name="TextBox 25">
          <a:extLst>
            <a:ext uri="{FF2B5EF4-FFF2-40B4-BE49-F238E27FC236}">
              <a16:creationId xmlns:a16="http://schemas.microsoft.com/office/drawing/2014/main" id="{0F5360DC-3C93-46E8-96F0-41E090D3351E}"/>
            </a:ext>
          </a:extLst>
        </xdr:cNvPr>
        <xdr:cNvSpPr txBox="1"/>
      </xdr:nvSpPr>
      <xdr:spPr>
        <a:xfrm>
          <a:off x="3733800" y="1181100"/>
          <a:ext cx="21031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b="1" i="0" u="none" strike="noStrike">
              <a:solidFill>
                <a:srgbClr val="000000"/>
              </a:solidFill>
              <a:latin typeface="Calibri"/>
              <a:ea typeface="Calibri"/>
              <a:cs typeface="Calibri"/>
            </a:rPr>
            <a:t>Average</a:t>
          </a:r>
          <a:r>
            <a:rPr lang="en-IN" sz="1200" b="1" i="0" u="none" strike="noStrike" baseline="0">
              <a:solidFill>
                <a:srgbClr val="000000"/>
              </a:solidFill>
              <a:latin typeface="Calibri"/>
              <a:ea typeface="Calibri"/>
              <a:cs typeface="Calibri"/>
            </a:rPr>
            <a:t> Wait Time</a:t>
          </a:r>
          <a:endParaRPr lang="en-IN" sz="1200" b="1" i="0" u="none" strike="noStrike">
            <a:solidFill>
              <a:srgbClr val="000000"/>
            </a:solidFill>
            <a:latin typeface="Calibri"/>
            <a:ea typeface="Calibri"/>
            <a:cs typeface="Calibri"/>
          </a:endParaRPr>
        </a:p>
      </xdr:txBody>
    </xdr:sp>
    <xdr:clientData/>
  </xdr:twoCellAnchor>
  <xdr:twoCellAnchor editAs="absolute">
    <xdr:from>
      <xdr:col>10</xdr:col>
      <xdr:colOff>129540</xdr:colOff>
      <xdr:row>5</xdr:row>
      <xdr:rowOff>30480</xdr:rowOff>
    </xdr:from>
    <xdr:to>
      <xdr:col>12</xdr:col>
      <xdr:colOff>434340</xdr:colOff>
      <xdr:row>6</xdr:row>
      <xdr:rowOff>121920</xdr:rowOff>
    </xdr:to>
    <xdr:sp macro="" textlink="'Pivot Report'!A8">
      <xdr:nvSpPr>
        <xdr:cNvPr id="27" name="TextBox 26">
          <a:extLst>
            <a:ext uri="{FF2B5EF4-FFF2-40B4-BE49-F238E27FC236}">
              <a16:creationId xmlns:a16="http://schemas.microsoft.com/office/drawing/2014/main" id="{C976F80F-D2BF-5B79-0C6E-F733FD06ED35}"/>
            </a:ext>
          </a:extLst>
        </xdr:cNvPr>
        <xdr:cNvSpPr txBox="1"/>
      </xdr:nvSpPr>
      <xdr:spPr>
        <a:xfrm>
          <a:off x="6225540" y="944880"/>
          <a:ext cx="15240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indent="0" algn="ctr"/>
          <a:fld id="{79640D3E-E3DA-443B-B533-4E30F0BCFF9B}" type="TxLink">
            <a:rPr lang="en-US" sz="1800" b="1" i="0" u="none" strike="noStrike">
              <a:solidFill>
                <a:schemeClr val="accent6">
                  <a:lumMod val="75000"/>
                </a:schemeClr>
              </a:solidFill>
              <a:latin typeface="Calibri"/>
              <a:ea typeface="Calibri"/>
              <a:cs typeface="Calibri"/>
            </a:rPr>
            <a:pPr marL="0" indent="0" algn="ctr"/>
            <a:t>4.96</a:t>
          </a:fld>
          <a:endParaRPr lang="en-IN" sz="1800" b="1" i="0" u="none" strike="noStrike">
            <a:solidFill>
              <a:schemeClr val="accent6">
                <a:lumMod val="75000"/>
              </a:schemeClr>
            </a:solidFill>
            <a:latin typeface="Calibri"/>
            <a:ea typeface="Calibri"/>
            <a:cs typeface="Calibri"/>
          </a:endParaRPr>
        </a:p>
      </xdr:txBody>
    </xdr:sp>
    <xdr:clientData/>
  </xdr:twoCellAnchor>
  <xdr:twoCellAnchor editAs="absolute">
    <xdr:from>
      <xdr:col>9</xdr:col>
      <xdr:colOff>441960</xdr:colOff>
      <xdr:row>6</xdr:row>
      <xdr:rowOff>76200</xdr:rowOff>
    </xdr:from>
    <xdr:to>
      <xdr:col>13</xdr:col>
      <xdr:colOff>220980</xdr:colOff>
      <xdr:row>8</xdr:row>
      <xdr:rowOff>0</xdr:rowOff>
    </xdr:to>
    <xdr:sp macro="" textlink="">
      <xdr:nvSpPr>
        <xdr:cNvPr id="28" name="TextBox 27">
          <a:extLst>
            <a:ext uri="{FF2B5EF4-FFF2-40B4-BE49-F238E27FC236}">
              <a16:creationId xmlns:a16="http://schemas.microsoft.com/office/drawing/2014/main" id="{D2DAF9E0-B166-0E24-D2DC-94437DBA49C6}"/>
            </a:ext>
          </a:extLst>
        </xdr:cNvPr>
        <xdr:cNvSpPr txBox="1"/>
      </xdr:nvSpPr>
      <xdr:spPr>
        <a:xfrm>
          <a:off x="5928360" y="1173480"/>
          <a:ext cx="22174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b="1" i="0" u="none" strike="noStrike">
              <a:solidFill>
                <a:srgbClr val="000000"/>
              </a:solidFill>
              <a:latin typeface="Calibri"/>
              <a:ea typeface="Calibri"/>
              <a:cs typeface="Calibri"/>
            </a:rPr>
            <a:t>Patient</a:t>
          </a:r>
          <a:r>
            <a:rPr lang="en-IN" sz="1200" b="1" i="0" u="none" strike="noStrike" baseline="0">
              <a:solidFill>
                <a:srgbClr val="000000"/>
              </a:solidFill>
              <a:latin typeface="Calibri"/>
              <a:ea typeface="Calibri"/>
              <a:cs typeface="Calibri"/>
            </a:rPr>
            <a:t> Satisfaction Score</a:t>
          </a:r>
          <a:endParaRPr lang="en-IN" sz="1200" b="1" i="0" u="none" strike="noStrike">
            <a:solidFill>
              <a:srgbClr val="000000"/>
            </a:solidFill>
            <a:latin typeface="Calibri"/>
            <a:ea typeface="Calibri"/>
            <a:cs typeface="Calibri"/>
          </a:endParaRPr>
        </a:p>
      </xdr:txBody>
    </xdr:sp>
    <xdr:clientData/>
  </xdr:twoCellAnchor>
  <xdr:twoCellAnchor editAs="oneCell">
    <xdr:from>
      <xdr:col>5</xdr:col>
      <xdr:colOff>60960</xdr:colOff>
      <xdr:row>4</xdr:row>
      <xdr:rowOff>160020</xdr:rowOff>
    </xdr:from>
    <xdr:to>
      <xdr:col>5</xdr:col>
      <xdr:colOff>556260</xdr:colOff>
      <xdr:row>7</xdr:row>
      <xdr:rowOff>106680</xdr:rowOff>
    </xdr:to>
    <xdr:pic>
      <xdr:nvPicPr>
        <xdr:cNvPr id="30" name="Graphic 29" descr="Male profile with solid fill">
          <a:extLst>
            <a:ext uri="{FF2B5EF4-FFF2-40B4-BE49-F238E27FC236}">
              <a16:creationId xmlns:a16="http://schemas.microsoft.com/office/drawing/2014/main" id="{AA531917-65B9-A9B2-84A9-5233EBD17CF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108960" y="891540"/>
          <a:ext cx="495300" cy="495300"/>
        </a:xfrm>
        <a:prstGeom prst="rect">
          <a:avLst/>
        </a:prstGeom>
      </xdr:spPr>
    </xdr:pic>
    <xdr:clientData/>
  </xdr:twoCellAnchor>
  <xdr:twoCellAnchor editAs="oneCell">
    <xdr:from>
      <xdr:col>8</xdr:col>
      <xdr:colOff>563880</xdr:colOff>
      <xdr:row>5</xdr:row>
      <xdr:rowOff>15240</xdr:rowOff>
    </xdr:from>
    <xdr:to>
      <xdr:col>9</xdr:col>
      <xdr:colOff>396240</xdr:colOff>
      <xdr:row>7</xdr:row>
      <xdr:rowOff>91440</xdr:rowOff>
    </xdr:to>
    <xdr:pic>
      <xdr:nvPicPr>
        <xdr:cNvPr id="32" name="Graphic 31" descr="Hourglass Finished with solid fill">
          <a:extLst>
            <a:ext uri="{FF2B5EF4-FFF2-40B4-BE49-F238E27FC236}">
              <a16:creationId xmlns:a16="http://schemas.microsoft.com/office/drawing/2014/main" id="{C95F044F-B50A-8F93-6644-A13AABB054E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440680" y="929640"/>
          <a:ext cx="441960" cy="441960"/>
        </a:xfrm>
        <a:prstGeom prst="rect">
          <a:avLst/>
        </a:prstGeom>
      </xdr:spPr>
    </xdr:pic>
    <xdr:clientData/>
  </xdr:twoCellAnchor>
  <xdr:twoCellAnchor editAs="oneCell">
    <xdr:from>
      <xdr:col>12</xdr:col>
      <xdr:colOff>492900</xdr:colOff>
      <xdr:row>5</xdr:row>
      <xdr:rowOff>12840</xdr:rowOff>
    </xdr:from>
    <xdr:to>
      <xdr:col>13</xdr:col>
      <xdr:colOff>365760</xdr:colOff>
      <xdr:row>7</xdr:row>
      <xdr:rowOff>129540</xdr:rowOff>
    </xdr:to>
    <xdr:pic>
      <xdr:nvPicPr>
        <xdr:cNvPr id="34" name="Graphic 33" descr="Star with solid fill">
          <a:extLst>
            <a:ext uri="{FF2B5EF4-FFF2-40B4-BE49-F238E27FC236}">
              <a16:creationId xmlns:a16="http://schemas.microsoft.com/office/drawing/2014/main" id="{E38A069D-FD0F-96A1-B5FF-C19922CE0D7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808100" y="927240"/>
          <a:ext cx="482460" cy="482460"/>
        </a:xfrm>
        <a:prstGeom prst="rect">
          <a:avLst/>
        </a:prstGeom>
      </xdr:spPr>
    </xdr:pic>
    <xdr:clientData/>
  </xdr:twoCellAnchor>
  <xdr:twoCellAnchor editAs="oneCell">
    <xdr:from>
      <xdr:col>0</xdr:col>
      <xdr:colOff>129540</xdr:colOff>
      <xdr:row>5</xdr:row>
      <xdr:rowOff>38100</xdr:rowOff>
    </xdr:from>
    <xdr:to>
      <xdr:col>2</xdr:col>
      <xdr:colOff>106680</xdr:colOff>
      <xdr:row>27</xdr:row>
      <xdr:rowOff>15240</xdr:rowOff>
    </xdr:to>
    <mc:AlternateContent xmlns:mc="http://schemas.openxmlformats.org/markup-compatibility/2006" xmlns:a14="http://schemas.microsoft.com/office/drawing/2010/main">
      <mc:Choice Requires="a14">
        <xdr:graphicFrame macro="">
          <xdr:nvGraphicFramePr>
            <xdr:cNvPr id="7" name="Date (Month)">
              <a:extLst>
                <a:ext uri="{FF2B5EF4-FFF2-40B4-BE49-F238E27FC236}">
                  <a16:creationId xmlns:a16="http://schemas.microsoft.com/office/drawing/2014/main" id="{FDF72788-CD74-429D-9EBE-B7F98856189C}"/>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29540" y="952500"/>
              <a:ext cx="1196340" cy="4000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114300</xdr:colOff>
      <xdr:row>7</xdr:row>
      <xdr:rowOff>68580</xdr:rowOff>
    </xdr:from>
    <xdr:to>
      <xdr:col>5</xdr:col>
      <xdr:colOff>601980</xdr:colOff>
      <xdr:row>10</xdr:row>
      <xdr:rowOff>30480</xdr:rowOff>
    </xdr:to>
    <xdr:graphicFrame macro="">
      <xdr:nvGraphicFramePr>
        <xdr:cNvPr id="9" name="Chart 8">
          <a:hlinkClick xmlns:r="http://schemas.openxmlformats.org/officeDocument/2006/relationships" r:id="rId8"/>
          <a:extLst>
            <a:ext uri="{FF2B5EF4-FFF2-40B4-BE49-F238E27FC236}">
              <a16:creationId xmlns:a16="http://schemas.microsoft.com/office/drawing/2014/main" id="{EAEF00A1-9592-4DA9-84C7-B9A346B58E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7620</xdr:colOff>
      <xdr:row>7</xdr:row>
      <xdr:rowOff>76200</xdr:rowOff>
    </xdr:from>
    <xdr:to>
      <xdr:col>9</xdr:col>
      <xdr:colOff>403860</xdr:colOff>
      <xdr:row>10</xdr:row>
      <xdr:rowOff>22860</xdr:rowOff>
    </xdr:to>
    <xdr:graphicFrame macro="">
      <xdr:nvGraphicFramePr>
        <xdr:cNvPr id="16" name="Chart 15">
          <a:hlinkClick xmlns:r="http://schemas.openxmlformats.org/officeDocument/2006/relationships" r:id="rId10"/>
          <a:extLst>
            <a:ext uri="{FF2B5EF4-FFF2-40B4-BE49-F238E27FC236}">
              <a16:creationId xmlns:a16="http://schemas.microsoft.com/office/drawing/2014/main" id="{CD13DAD2-DAEF-4715-A116-9F6E38764F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411480</xdr:colOff>
      <xdr:row>7</xdr:row>
      <xdr:rowOff>7620</xdr:rowOff>
    </xdr:from>
    <xdr:to>
      <xdr:col>13</xdr:col>
      <xdr:colOff>388620</xdr:colOff>
      <xdr:row>10</xdr:row>
      <xdr:rowOff>38100</xdr:rowOff>
    </xdr:to>
    <xdr:graphicFrame macro="">
      <xdr:nvGraphicFramePr>
        <xdr:cNvPr id="18" name="Chart 17">
          <a:hlinkClick xmlns:r="http://schemas.openxmlformats.org/officeDocument/2006/relationships" r:id="rId12"/>
          <a:extLst>
            <a:ext uri="{FF2B5EF4-FFF2-40B4-BE49-F238E27FC236}">
              <a16:creationId xmlns:a16="http://schemas.microsoft.com/office/drawing/2014/main" id="{15B4988A-0203-4771-B940-44C7CE2F80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182880</xdr:colOff>
          <xdr:row>10</xdr:row>
          <xdr:rowOff>45720</xdr:rowOff>
        </xdr:from>
        <xdr:to>
          <xdr:col>13</xdr:col>
          <xdr:colOff>388620</xdr:colOff>
          <xdr:row>14</xdr:row>
          <xdr:rowOff>160020</xdr:rowOff>
        </xdr:to>
        <xdr:pic>
          <xdr:nvPicPr>
            <xdr:cNvPr id="22" name="Picture 21">
              <a:extLst>
                <a:ext uri="{FF2B5EF4-FFF2-40B4-BE49-F238E27FC236}">
                  <a16:creationId xmlns:a16="http://schemas.microsoft.com/office/drawing/2014/main" id="{3BEE55A2-D4EC-473A-7715-28E09F02F901}"/>
                </a:ext>
              </a:extLst>
            </xdr:cNvPr>
            <xdr:cNvPicPr>
              <a:picLocks noChangeAspect="1" noChangeArrowheads="1"/>
              <a:extLst>
                <a:ext uri="{84589F7E-364E-4C9E-8A38-B11213B215E9}">
                  <a14:cameraTool cellRange="'Pivot Report'!$A$43:$D$45" spid="_x0000_s1036"/>
                </a:ext>
              </a:extLst>
            </xdr:cNvPicPr>
          </xdr:nvPicPr>
          <xdr:blipFill>
            <a:blip xmlns:r="http://schemas.openxmlformats.org/officeDocument/2006/relationships" r:embed="rId14"/>
            <a:srcRect/>
            <a:stretch>
              <a:fillRect/>
            </a:stretch>
          </xdr:blipFill>
          <xdr:spPr bwMode="auto">
            <a:xfrm>
              <a:off x="1402080" y="1874520"/>
              <a:ext cx="6911340" cy="845820"/>
            </a:xfrm>
            <a:prstGeom prst="roundRect">
              <a:avLst>
                <a:gd name="adj" fmla="val 16667"/>
              </a:avLst>
            </a:prstGeom>
            <a:ln>
              <a:noFill/>
            </a:ln>
            <a:effectLst>
              <a:outerShdw blurRad="76200" dist="38100" dir="7800000" algn="tl" rotWithShape="0">
                <a:srgbClr val="000000">
                  <a:alpha val="40000"/>
                </a:srgbClr>
              </a:outerShdw>
            </a:effectLst>
            <a:extLst>
              <a:ext uri="{909E8E84-426E-40DD-AFC4-6F175D3DCCD1}">
                <a14:hiddenFill>
                  <a:solidFill>
                    <a:srgbClr val="FFFFFF"/>
                  </a:solidFill>
                </a14:hiddenFill>
              </a:ext>
            </a:extLst>
          </xdr:spPr>
        </xdr:pic>
        <xdr:clientData/>
      </xdr:twoCellAnchor>
    </mc:Choice>
    <mc:Fallback/>
  </mc:AlternateContent>
  <xdr:twoCellAnchor>
    <xdr:from>
      <xdr:col>2</xdr:col>
      <xdr:colOff>175260</xdr:colOff>
      <xdr:row>15</xdr:row>
      <xdr:rowOff>0</xdr:rowOff>
    </xdr:from>
    <xdr:to>
      <xdr:col>13</xdr:col>
      <xdr:colOff>373380</xdr:colOff>
      <xdr:row>27</xdr:row>
      <xdr:rowOff>76200</xdr:rowOff>
    </xdr:to>
    <xdr:graphicFrame macro="">
      <xdr:nvGraphicFramePr>
        <xdr:cNvPr id="10" name="Chart 9">
          <a:extLst>
            <a:ext uri="{FF2B5EF4-FFF2-40B4-BE49-F238E27FC236}">
              <a16:creationId xmlns:a16="http://schemas.microsoft.com/office/drawing/2014/main" id="{5EA77792-9327-4945-84FB-F9D6B0ACA4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2</xdr:col>
      <xdr:colOff>144780</xdr:colOff>
      <xdr:row>15</xdr:row>
      <xdr:rowOff>7620</xdr:rowOff>
    </xdr:from>
    <xdr:to>
      <xdr:col>5</xdr:col>
      <xdr:colOff>533400</xdr:colOff>
      <xdr:row>16</xdr:row>
      <xdr:rowOff>99060</xdr:rowOff>
    </xdr:to>
    <xdr:sp macro="" textlink="'Pivot Report'!A2" fLocksText="0">
      <xdr:nvSpPr>
        <xdr:cNvPr id="21" name="TextBox 20">
          <a:extLst>
            <a:ext uri="{FF2B5EF4-FFF2-40B4-BE49-F238E27FC236}">
              <a16:creationId xmlns:a16="http://schemas.microsoft.com/office/drawing/2014/main" id="{36499FFB-6B08-4049-B381-3F49DCFC3E12}"/>
            </a:ext>
          </a:extLst>
        </xdr:cNvPr>
        <xdr:cNvSpPr txBox="1"/>
      </xdr:nvSpPr>
      <xdr:spPr>
        <a:xfrm>
          <a:off x="1363980" y="2750820"/>
          <a:ext cx="22174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lstStyle/>
        <a:p>
          <a:pPr algn="ctr"/>
          <a:r>
            <a:rPr lang="en-IN" sz="1200" b="1">
              <a:solidFill>
                <a:sysClr val="windowText" lastClr="000000"/>
              </a:solidFill>
            </a:rPr>
            <a:t>No. of Patient</a:t>
          </a:r>
          <a:r>
            <a:rPr lang="en-IN" sz="1200" b="1" baseline="0">
              <a:solidFill>
                <a:sysClr val="windowText" lastClr="000000"/>
              </a:solidFill>
            </a:rPr>
            <a:t> by Age Group</a:t>
          </a:r>
          <a:endParaRPr lang="en-IN" sz="1200" b="1">
            <a:solidFill>
              <a:sysClr val="windowText" lastClr="000000"/>
            </a:solidFill>
          </a:endParaRPr>
        </a:p>
      </xdr:txBody>
    </xdr:sp>
    <xdr:clientData fLocksWithSheet="0"/>
  </xdr:twoCellAnchor>
  <xdr:twoCellAnchor>
    <xdr:from>
      <xdr:col>13</xdr:col>
      <xdr:colOff>426720</xdr:colOff>
      <xdr:row>0</xdr:row>
      <xdr:rowOff>22860</xdr:rowOff>
    </xdr:from>
    <xdr:to>
      <xdr:col>18</xdr:col>
      <xdr:colOff>198120</xdr:colOff>
      <xdr:row>12</xdr:row>
      <xdr:rowOff>38100</xdr:rowOff>
    </xdr:to>
    <xdr:graphicFrame macro="">
      <xdr:nvGraphicFramePr>
        <xdr:cNvPr id="29" name="Chart 28">
          <a:extLst>
            <a:ext uri="{FF2B5EF4-FFF2-40B4-BE49-F238E27FC236}">
              <a16:creationId xmlns:a16="http://schemas.microsoft.com/office/drawing/2014/main" id="{3876FE4B-6ADE-4DB6-B9C6-E8BE914634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18</xdr:col>
      <xdr:colOff>220980</xdr:colOff>
      <xdr:row>0</xdr:row>
      <xdr:rowOff>30480</xdr:rowOff>
    </xdr:from>
    <xdr:to>
      <xdr:col>23</xdr:col>
      <xdr:colOff>91440</xdr:colOff>
      <xdr:row>12</xdr:row>
      <xdr:rowOff>30480</xdr:rowOff>
    </xdr:to>
    <xdr:graphicFrame macro="">
      <xdr:nvGraphicFramePr>
        <xdr:cNvPr id="31" name="Chart 30">
          <a:extLst>
            <a:ext uri="{FF2B5EF4-FFF2-40B4-BE49-F238E27FC236}">
              <a16:creationId xmlns:a16="http://schemas.microsoft.com/office/drawing/2014/main" id="{EB50946E-94CF-48B2-AA79-45B793ECD7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13</xdr:col>
      <xdr:colOff>434340</xdr:colOff>
      <xdr:row>12</xdr:row>
      <xdr:rowOff>76200</xdr:rowOff>
    </xdr:from>
    <xdr:to>
      <xdr:col>23</xdr:col>
      <xdr:colOff>91440</xdr:colOff>
      <xdr:row>27</xdr:row>
      <xdr:rowOff>114300</xdr:rowOff>
    </xdr:to>
    <xdr:graphicFrame macro="">
      <xdr:nvGraphicFramePr>
        <xdr:cNvPr id="33" name="Chart 32">
          <a:extLst>
            <a:ext uri="{FF2B5EF4-FFF2-40B4-BE49-F238E27FC236}">
              <a16:creationId xmlns:a16="http://schemas.microsoft.com/office/drawing/2014/main" id="{2AEA7878-CDF4-4C7F-A59C-2F1CCB75AC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9</xdr:col>
      <xdr:colOff>419100</xdr:colOff>
      <xdr:row>0</xdr:row>
      <xdr:rowOff>167640</xdr:rowOff>
    </xdr:from>
    <xdr:to>
      <xdr:col>13</xdr:col>
      <xdr:colOff>342900</xdr:colOff>
      <xdr:row>4</xdr:row>
      <xdr:rowOff>60960</xdr:rowOff>
    </xdr:to>
    <mc:AlternateContent xmlns:mc="http://schemas.openxmlformats.org/markup-compatibility/2006">
      <mc:Choice xmlns:a14="http://schemas.microsoft.com/office/drawing/2010/main" Requires="a14">
        <xdr:graphicFrame macro="">
          <xdr:nvGraphicFramePr>
            <xdr:cNvPr id="35" name="Date (Year)">
              <a:extLst>
                <a:ext uri="{FF2B5EF4-FFF2-40B4-BE49-F238E27FC236}">
                  <a16:creationId xmlns:a16="http://schemas.microsoft.com/office/drawing/2014/main" id="{B67DEE4A-582D-4CB5-AE4B-1BF65D6F8DB6}"/>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5905500" y="167640"/>
              <a:ext cx="2362200" cy="624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20</xdr:col>
      <xdr:colOff>327660</xdr:colOff>
      <xdr:row>23</xdr:row>
      <xdr:rowOff>114300</xdr:rowOff>
    </xdr:to>
    <xdr:graphicFrame macro="">
      <xdr:nvGraphicFramePr>
        <xdr:cNvPr id="4" name="Chart 3">
          <a:extLst>
            <a:ext uri="{FF2B5EF4-FFF2-40B4-BE49-F238E27FC236}">
              <a16:creationId xmlns:a16="http://schemas.microsoft.com/office/drawing/2014/main" id="{77E950D7-8C53-4E5B-B711-5686E69708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91440</xdr:colOff>
      <xdr:row>1</xdr:row>
      <xdr:rowOff>45720</xdr:rowOff>
    </xdr:from>
    <xdr:to>
      <xdr:col>1</xdr:col>
      <xdr:colOff>579120</xdr:colOff>
      <xdr:row>3</xdr:row>
      <xdr:rowOff>167640</xdr:rowOff>
    </xdr:to>
    <xdr:pic>
      <xdr:nvPicPr>
        <xdr:cNvPr id="6" name="Graphic 5" descr="Home with solid fill">
          <a:hlinkClick xmlns:r="http://schemas.openxmlformats.org/officeDocument/2006/relationships" r:id="rId2"/>
          <a:extLst>
            <a:ext uri="{FF2B5EF4-FFF2-40B4-BE49-F238E27FC236}">
              <a16:creationId xmlns:a16="http://schemas.microsoft.com/office/drawing/2014/main" id="{BF5250EA-0405-D48A-57D0-2C492E83E5C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01040" y="228600"/>
          <a:ext cx="487680" cy="48768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320040</xdr:colOff>
      <xdr:row>1</xdr:row>
      <xdr:rowOff>0</xdr:rowOff>
    </xdr:from>
    <xdr:to>
      <xdr:col>21</xdr:col>
      <xdr:colOff>403860</xdr:colOff>
      <xdr:row>25</xdr:row>
      <xdr:rowOff>160020</xdr:rowOff>
    </xdr:to>
    <xdr:graphicFrame macro="">
      <xdr:nvGraphicFramePr>
        <xdr:cNvPr id="2" name="Chart 1">
          <a:extLst>
            <a:ext uri="{FF2B5EF4-FFF2-40B4-BE49-F238E27FC236}">
              <a16:creationId xmlns:a16="http://schemas.microsoft.com/office/drawing/2014/main" id="{8E1E4D8E-799D-428A-8233-3BEABF8EC2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365760</xdr:colOff>
      <xdr:row>1</xdr:row>
      <xdr:rowOff>15240</xdr:rowOff>
    </xdr:from>
    <xdr:to>
      <xdr:col>1</xdr:col>
      <xdr:colOff>297180</xdr:colOff>
      <xdr:row>4</xdr:row>
      <xdr:rowOff>7620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6B832D84-0326-13FE-4D10-21D23A26322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65760" y="198120"/>
          <a:ext cx="541020" cy="5410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289560</xdr:colOff>
      <xdr:row>1</xdr:row>
      <xdr:rowOff>0</xdr:rowOff>
    </xdr:from>
    <xdr:to>
      <xdr:col>21</xdr:col>
      <xdr:colOff>144780</xdr:colOff>
      <xdr:row>23</xdr:row>
      <xdr:rowOff>152400</xdr:rowOff>
    </xdr:to>
    <xdr:graphicFrame macro="">
      <xdr:nvGraphicFramePr>
        <xdr:cNvPr id="2" name="Chart 1">
          <a:extLst>
            <a:ext uri="{FF2B5EF4-FFF2-40B4-BE49-F238E27FC236}">
              <a16:creationId xmlns:a16="http://schemas.microsoft.com/office/drawing/2014/main" id="{2FFE85C7-FCDC-4E8A-906B-977B9C4B09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388620</xdr:colOff>
      <xdr:row>1</xdr:row>
      <xdr:rowOff>30480</xdr:rowOff>
    </xdr:from>
    <xdr:to>
      <xdr:col>1</xdr:col>
      <xdr:colOff>274320</xdr:colOff>
      <xdr:row>3</xdr:row>
      <xdr:rowOff>160020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AE17AEC5-9B23-BB6D-95AD-23B84EF47D0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88620" y="213360"/>
          <a:ext cx="495300" cy="4953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00.444180439816" createdVersion="5" refreshedVersion="8" minRefreshableVersion="3" recordCount="0" supportSubquery="1" supportAdvancedDrill="1" xr:uid="{51747E83-2C6A-4BDA-903B-E54D953B5B38}">
  <cacheSource type="external" connectionId="3"/>
  <cacheFields count="4">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Measures].[Distinct Count of Patient Id]" caption="Distinct Count of Patient Id" numFmtId="0" hierarchy="29"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R_Data].[Patient Id]" caption="Patient Id" attribute="1" defaultMemberUniqueName="[Hospital ER_Data].[Patient Id].[All]" allUniqueName="[Hospital ER_Data].[Patient Id].[All]" dimensionUniqueName="[Hospital ER_Data]" displayFolder="" count="0" memberValueDatatype="130" unbalanced="0"/>
    <cacheHierarchy uniqueName="[Hospital ER_Data].[Patient Admission Date]" caption="Patient Admission Date" attribute="1" time="1" defaultMemberUniqueName="[Hospital ER_Data].[Patient Admission Date].[All]" allUniqueName="[Hospital ER_Data].[Patient Admission Date].[All]" dimensionUniqueName="[Hospital ER_Data]" displayFolder="" count="0" memberValueDatatype="7" unbalanced="0"/>
    <cacheHierarchy uniqueName="[Hospital ER_Data].[Patient Admission Time]" caption="Patient Admission Time" attribute="1" time="1" defaultMemberUniqueName="[Hospital ER_Data].[Patient Admission Time].[All]" allUniqueName="[Hospital ER_Data].[Patient Admission Time].[All]" dimensionUniqueName="[Hospital ER_Data]" displayFolder="" count="0" memberValueDatatype="7" unbalanced="0"/>
    <cacheHierarchy uniqueName="[Hospital ER_Data].[Merged]" caption="Merged" attribute="1" defaultMemberUniqueName="[Hospital ER_Data].[Merged].[All]" allUniqueName="[Hospital ER_Data].[Merged].[All]" dimensionUniqueName="[Hospital ER_Data]" displayFolder="" count="0" memberValueDatatype="130" unbalanced="0"/>
    <cacheHierarchy uniqueName="[Hospital ER_Data].[Patient Gender]" caption="Patient Gender" attribute="1" defaultMemberUniqueName="[Hospital ER_Data].[Patient Gender].[All]" allUniqueName="[Hospital ER_Data].[Patient Gender].[All]" dimensionUniqueName="[Hospital ER_Data]" displayFolder="" count="0" memberValueDatatype="130" unbalanced="0"/>
    <cacheHierarchy uniqueName="[Hospital ER_Data].[Patient Age]" caption="Patient Age" attribute="1" defaultMemberUniqueName="[Hospital ER_Data].[Patient Age].[All]" allUniqueName="[Hospital ER_Data].[Patient Age].[All]" dimensionUniqueName="[Hospital ER_Data]" displayFolder="" count="0" memberValueDatatype="20" unbalanced="0"/>
    <cacheHierarchy uniqueName="[Hospital ER_Data].[Patient Race]" caption="Patient Race" attribute="1" defaultMemberUniqueName="[Hospital ER_Data].[Patient Race].[All]" allUniqueName="[Hospital ER_Data].[Patient Race].[All]" dimensionUniqueName="[Hospital ER_Data]" displayFolder="" count="0" memberValueDatatype="130" unbalanced="0"/>
    <cacheHierarchy uniqueName="[Hospital ER_Data].[Department Referral]" caption="Department Referral" attribute="1" defaultMemberUniqueName="[Hospital ER_Data].[Department Referral].[All]" allUniqueName="[Hospital ER_Data].[Department Referral].[All]" dimensionUniqueName="[Hospital ER_Data]" displayFolder="" count="0" memberValueDatatype="130" unbalanced="0"/>
    <cacheHierarchy uniqueName="[Hospital ER_Data].[Patient Admission Flag]" caption="Patient Admission Flag" attribute="1" defaultMemberUniqueName="[Hospital ER_Data].[Patient Admission Flag].[All]" allUniqueName="[Hospital ER_Data].[Patient Admission Flag].[All]" dimensionUniqueName="[Hospital ER_Data]" displayFolder="" count="0" memberValueDatatype="130" unbalanced="0"/>
    <cacheHierarchy uniqueName="[Hospital ER_Data].[Patient Satisfaction Score]" caption="Patient Satisfaction Score" attribute="1" defaultMemberUniqueName="[Hospital ER_Data].[Patient Satisfaction Score].[All]" allUniqueName="[Hospital ER_Data].[Patient Satisfaction Score].[All]" dimensionUniqueName="[Hospital ER_Data]" displayFolder="" count="0" memberValueDatatype="20" unbalanced="0"/>
    <cacheHierarchy uniqueName="[Hospital ER_Data].[Patient Waittime]" caption="Patient Waittime" attribute="1" defaultMemberUniqueName="[Hospital ER_Data].[Patient Waittime].[All]" allUniqueName="[Hospital ER_Data].[Patient Waittime].[All]" dimensionUniqueName="[Hospital ER_Data]" displayFolder="" count="0" memberValueDatatype="20" unbalanced="0"/>
    <cacheHierarchy uniqueName="[Hospital ER_Data].[Patients CM]" caption="Patients CM" attribute="1" defaultMemberUniqueName="[Hospital ER_Data].[Patients CM].[All]" allUniqueName="[Hospital ER_Data].[Patients CM].[All]" dimensionUniqueName="[Hospital ER_Data]" displayFolder="" count="0" memberValueDatatype="20" unbalanced="0"/>
    <cacheHierarchy uniqueName="[Hospital ER_Data].[Age Group]" caption="Age Group" attribute="1" defaultMemberUniqueName="[Hospital ER_Data].[Age Group].[All]" allUniqueName="[Hospital ER_Data].[Age Group].[All]" dimensionUniqueName="[Hospital ER_Data]" displayFolder="" count="0" memberValueDatatype="130" unbalanced="0"/>
    <cacheHierarchy uniqueName="[Hospital ER_Data].[Patient Attend Status]" caption="Patient Attend Status" attribute="1" defaultMemberUniqueName="[Hospital ER_Data].[Patient Attend Status].[All]" allUniqueName="[Hospital ER_Data].[Patient Attend Status].[All]" dimensionUniqueName="[Hospital ER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R_Data]" caption="__XL_Count Hospital ER_Data" measure="1" displayFolder="" measureGroup="Hospital ER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Hospital ER_Data"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R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R_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R_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R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R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R_Data" uniqueName="[Hospital ER_Data]" caption="Hospital ER_Data"/>
    <dimension measure="1" name="Measures" uniqueName="[Measures]" caption="Measures"/>
  </dimensions>
  <measureGroups count="2">
    <measureGroup name="Calender_Table" caption="Calender_Table"/>
    <measureGroup name="Hospital ER_Data" caption="Hospital ER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00.444180671293" createdVersion="5" refreshedVersion="8" minRefreshableVersion="3" recordCount="0" supportSubquery="1" supportAdvancedDrill="1" xr:uid="{9A69147B-3B16-4228-96FA-7FEE4F381153}">
  <cacheSource type="external" connectionId="3"/>
  <cacheFields count="3">
    <cacheField name="[Measures].[Count of Patient Id]" caption="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R_Data].[Patient Id]" caption="Patient Id" attribute="1" defaultMemberUniqueName="[Hospital ER_Data].[Patient Id].[All]" allUniqueName="[Hospital ER_Data].[Patient Id].[All]" dimensionUniqueName="[Hospital ER_Data]" displayFolder="" count="0" memberValueDatatype="130" unbalanced="0"/>
    <cacheHierarchy uniqueName="[Hospital ER_Data].[Patient Admission Date]" caption="Patient Admission Date" attribute="1" time="1" defaultMemberUniqueName="[Hospital ER_Data].[Patient Admission Date].[All]" allUniqueName="[Hospital ER_Data].[Patient Admission Date].[All]" dimensionUniqueName="[Hospital ER_Data]" displayFolder="" count="0" memberValueDatatype="7" unbalanced="0"/>
    <cacheHierarchy uniqueName="[Hospital ER_Data].[Patient Admission Time]" caption="Patient Admission Time" attribute="1" time="1" defaultMemberUniqueName="[Hospital ER_Data].[Patient Admission Time].[All]" allUniqueName="[Hospital ER_Data].[Patient Admission Time].[All]" dimensionUniqueName="[Hospital ER_Data]" displayFolder="" count="0" memberValueDatatype="7" unbalanced="0"/>
    <cacheHierarchy uniqueName="[Hospital ER_Data].[Merged]" caption="Merged" attribute="1" defaultMemberUniqueName="[Hospital ER_Data].[Merged].[All]" allUniqueName="[Hospital ER_Data].[Merged].[All]" dimensionUniqueName="[Hospital ER_Data]" displayFolder="" count="0" memberValueDatatype="130" unbalanced="0"/>
    <cacheHierarchy uniqueName="[Hospital ER_Data].[Patient Gender]" caption="Patient Gender" attribute="1" defaultMemberUniqueName="[Hospital ER_Data].[Patient Gender].[All]" allUniqueName="[Hospital ER_Data].[Patient Gender].[All]" dimensionUniqueName="[Hospital ER_Data]" displayFolder="" count="0" memberValueDatatype="130" unbalanced="0"/>
    <cacheHierarchy uniqueName="[Hospital ER_Data].[Patient Age]" caption="Patient Age" attribute="1" defaultMemberUniqueName="[Hospital ER_Data].[Patient Age].[All]" allUniqueName="[Hospital ER_Data].[Patient Age].[All]" dimensionUniqueName="[Hospital ER_Data]" displayFolder="" count="0" memberValueDatatype="20" unbalanced="0"/>
    <cacheHierarchy uniqueName="[Hospital ER_Data].[Patient Race]" caption="Patient Race" attribute="1" defaultMemberUniqueName="[Hospital ER_Data].[Patient Race].[All]" allUniqueName="[Hospital ER_Data].[Patient Race].[All]" dimensionUniqueName="[Hospital ER_Data]" displayFolder="" count="0" memberValueDatatype="130" unbalanced="0"/>
    <cacheHierarchy uniqueName="[Hospital ER_Data].[Department Referral]" caption="Department Referral" attribute="1" defaultMemberUniqueName="[Hospital ER_Data].[Department Referral].[All]" allUniqueName="[Hospital ER_Data].[Department Referral].[All]" dimensionUniqueName="[Hospital ER_Data]" displayFolder="" count="0" memberValueDatatype="130" unbalanced="0"/>
    <cacheHierarchy uniqueName="[Hospital ER_Data].[Patient Admission Flag]" caption="Patient Admission Flag" attribute="1" defaultMemberUniqueName="[Hospital ER_Data].[Patient Admission Flag].[All]" allUniqueName="[Hospital ER_Data].[Patient Admission Flag].[All]" dimensionUniqueName="[Hospital ER_Data]" displayFolder="" count="0" memberValueDatatype="130" unbalanced="0"/>
    <cacheHierarchy uniqueName="[Hospital ER_Data].[Patient Satisfaction Score]" caption="Patient Satisfaction Score" attribute="1" defaultMemberUniqueName="[Hospital ER_Data].[Patient Satisfaction Score].[All]" allUniqueName="[Hospital ER_Data].[Patient Satisfaction Score].[All]" dimensionUniqueName="[Hospital ER_Data]" displayFolder="" count="0" memberValueDatatype="20" unbalanced="0"/>
    <cacheHierarchy uniqueName="[Hospital ER_Data].[Patient Waittime]" caption="Patient Waittime" attribute="1" defaultMemberUniqueName="[Hospital ER_Data].[Patient Waittime].[All]" allUniqueName="[Hospital ER_Data].[Patient Waittime].[All]" dimensionUniqueName="[Hospital ER_Data]" displayFolder="" count="0" memberValueDatatype="20" unbalanced="0"/>
    <cacheHierarchy uniqueName="[Hospital ER_Data].[Patients CM]" caption="Patients CM" attribute="1" defaultMemberUniqueName="[Hospital ER_Data].[Patients CM].[All]" allUniqueName="[Hospital ER_Data].[Patients CM].[All]" dimensionUniqueName="[Hospital ER_Data]" displayFolder="" count="0" memberValueDatatype="20" unbalanced="0"/>
    <cacheHierarchy uniqueName="[Hospital ER_Data].[Age Group]" caption="Age Group" attribute="1" defaultMemberUniqueName="[Hospital ER_Data].[Age Group].[All]" allUniqueName="[Hospital ER_Data].[Age Group].[All]" dimensionUniqueName="[Hospital ER_Data]" displayFolder="" count="0" memberValueDatatype="130" unbalanced="0"/>
    <cacheHierarchy uniqueName="[Hospital ER_Data].[Patient Attend Status]" caption="Patient Attend Status" attribute="1" defaultMemberUniqueName="[Hospital ER_Data].[Patient Attend Status].[All]" allUniqueName="[Hospital ER_Data].[Patient Attend Status].[All]" dimensionUniqueName="[Hospital ER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R_Data]" caption="__XL_Count Hospital ER_Data" measure="1" displayFolder="" measureGroup="Hospital ER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R_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R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R_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R_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R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R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R_Data" uniqueName="[Hospital ER_Data]" caption="Hospital ER_Data"/>
    <dimension measure="1" name="Measures" uniqueName="[Measures]" caption="Measures"/>
  </dimensions>
  <measureGroups count="2">
    <measureGroup name="Calender_Table" caption="Calender_Table"/>
    <measureGroup name="Hospital ER_Data" caption="Hospital ER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00.444180787039" createdVersion="5" refreshedVersion="8" minRefreshableVersion="3" recordCount="0" supportSubquery="1" supportAdvancedDrill="1" xr:uid="{BB514386-1D03-4A1A-BFEC-68A7A43A1C8D}">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R_Data].[Patient Id]" caption="Patient Id" attribute="1" defaultMemberUniqueName="[Hospital ER_Data].[Patient Id].[All]" allUniqueName="[Hospital ER_Data].[Patient Id].[All]" dimensionUniqueName="[Hospital ER_Data]" displayFolder="" count="0" memberValueDatatype="130" unbalanced="0"/>
    <cacheHierarchy uniqueName="[Hospital ER_Data].[Patient Admission Date]" caption="Patient Admission Date" attribute="1" time="1" defaultMemberUniqueName="[Hospital ER_Data].[Patient Admission Date].[All]" allUniqueName="[Hospital ER_Data].[Patient Admission Date].[All]" dimensionUniqueName="[Hospital ER_Data]" displayFolder="" count="0" memberValueDatatype="7" unbalanced="0"/>
    <cacheHierarchy uniqueName="[Hospital ER_Data].[Patient Admission Time]" caption="Patient Admission Time" attribute="1" time="1" defaultMemberUniqueName="[Hospital ER_Data].[Patient Admission Time].[All]" allUniqueName="[Hospital ER_Data].[Patient Admission Time].[All]" dimensionUniqueName="[Hospital ER_Data]" displayFolder="" count="0" memberValueDatatype="7" unbalanced="0"/>
    <cacheHierarchy uniqueName="[Hospital ER_Data].[Merged]" caption="Merged" attribute="1" defaultMemberUniqueName="[Hospital ER_Data].[Merged].[All]" allUniqueName="[Hospital ER_Data].[Merged].[All]" dimensionUniqueName="[Hospital ER_Data]" displayFolder="" count="0" memberValueDatatype="130" unbalanced="0"/>
    <cacheHierarchy uniqueName="[Hospital ER_Data].[Patient Gender]" caption="Patient Gender" attribute="1" defaultMemberUniqueName="[Hospital ER_Data].[Patient Gender].[All]" allUniqueName="[Hospital ER_Data].[Patient Gender].[All]" dimensionUniqueName="[Hospital ER_Data]" displayFolder="" count="0" memberValueDatatype="130" unbalanced="0"/>
    <cacheHierarchy uniqueName="[Hospital ER_Data].[Patient Age]" caption="Patient Age" attribute="1" defaultMemberUniqueName="[Hospital ER_Data].[Patient Age].[All]" allUniqueName="[Hospital ER_Data].[Patient Age].[All]" dimensionUniqueName="[Hospital ER_Data]" displayFolder="" count="0" memberValueDatatype="20" unbalanced="0"/>
    <cacheHierarchy uniqueName="[Hospital ER_Data].[Patient Race]" caption="Patient Race" attribute="1" defaultMemberUniqueName="[Hospital ER_Data].[Patient Race].[All]" allUniqueName="[Hospital ER_Data].[Patient Race].[All]" dimensionUniqueName="[Hospital ER_Data]" displayFolder="" count="0" memberValueDatatype="130" unbalanced="0"/>
    <cacheHierarchy uniqueName="[Hospital ER_Data].[Department Referral]" caption="Department Referral" attribute="1" defaultMemberUniqueName="[Hospital ER_Data].[Department Referral].[All]" allUniqueName="[Hospital ER_Data].[Department Referral].[All]" dimensionUniqueName="[Hospital ER_Data]" displayFolder="" count="0" memberValueDatatype="130" unbalanced="0"/>
    <cacheHierarchy uniqueName="[Hospital ER_Data].[Patient Admission Flag]" caption="Patient Admission Flag" attribute="1" defaultMemberUniqueName="[Hospital ER_Data].[Patient Admission Flag].[All]" allUniqueName="[Hospital ER_Data].[Patient Admission Flag].[All]" dimensionUniqueName="[Hospital ER_Data]" displayFolder="" count="0" memberValueDatatype="130" unbalanced="0"/>
    <cacheHierarchy uniqueName="[Hospital ER_Data].[Patient Satisfaction Score]" caption="Patient Satisfaction Score" attribute="1" defaultMemberUniqueName="[Hospital ER_Data].[Patient Satisfaction Score].[All]" allUniqueName="[Hospital ER_Data].[Patient Satisfaction Score].[All]" dimensionUniqueName="[Hospital ER_Data]" displayFolder="" count="0" memberValueDatatype="20" unbalanced="0"/>
    <cacheHierarchy uniqueName="[Hospital ER_Data].[Patient Waittime]" caption="Patient Waittime" attribute="1" defaultMemberUniqueName="[Hospital ER_Data].[Patient Waittime].[All]" allUniqueName="[Hospital ER_Data].[Patient Waittime].[All]" dimensionUniqueName="[Hospital ER_Data]" displayFolder="" count="0" memberValueDatatype="20" unbalanced="0"/>
    <cacheHierarchy uniqueName="[Hospital ER_Data].[Patients CM]" caption="Patients CM" attribute="1" defaultMemberUniqueName="[Hospital ER_Data].[Patients CM].[All]" allUniqueName="[Hospital ER_Data].[Patients CM].[All]" dimensionUniqueName="[Hospital ER_Data]" displayFolder="" count="0" memberValueDatatype="20" unbalanced="0"/>
    <cacheHierarchy uniqueName="[Hospital ER_Data].[Age Group]" caption="Age Group" attribute="1" defaultMemberUniqueName="[Hospital ER_Data].[Age Group].[All]" allUniqueName="[Hospital ER_Data].[Age Group].[All]" dimensionUniqueName="[Hospital ER_Data]" displayFolder="" count="0" memberValueDatatype="130" unbalanced="0"/>
    <cacheHierarchy uniqueName="[Hospital ER_Data].[Patient Attend Status]" caption="Patient Attend Status" attribute="1" defaultMemberUniqueName="[Hospital ER_Data].[Patient Attend Status].[All]" allUniqueName="[Hospital ER_Data].[Patient Attend Status].[All]" dimensionUniqueName="[Hospital ER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R_Data]" caption="__XL_Count Hospital ER_Data" measure="1" displayFolder="" measureGroup="Hospital ER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R_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R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R_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R_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R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R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R_Data" uniqueName="[Hospital ER_Data]" caption="Hospital ER_Data"/>
    <dimension measure="1" name="Measures" uniqueName="[Measures]" caption="Measures"/>
  </dimensions>
  <measureGroups count="2">
    <measureGroup name="Calender_Table" caption="Calender_Table"/>
    <measureGroup name="Hospital ER_Data" caption="Hospital ER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00.444180787039" createdVersion="5" refreshedVersion="8" minRefreshableVersion="3" recordCount="0" supportSubquery="1" supportAdvancedDrill="1" xr:uid="{22579824-116B-420F-8F99-1C98A391A8EC}">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R_Data].[Patient Id]" caption="Patient Id" attribute="1" defaultMemberUniqueName="[Hospital ER_Data].[Patient Id].[All]" allUniqueName="[Hospital ER_Data].[Patient Id].[All]" dimensionUniqueName="[Hospital ER_Data]" displayFolder="" count="0" memberValueDatatype="130" unbalanced="0"/>
    <cacheHierarchy uniqueName="[Hospital ER_Data].[Patient Admission Date]" caption="Patient Admission Date" attribute="1" time="1" defaultMemberUniqueName="[Hospital ER_Data].[Patient Admission Date].[All]" allUniqueName="[Hospital ER_Data].[Patient Admission Date].[All]" dimensionUniqueName="[Hospital ER_Data]" displayFolder="" count="0" memberValueDatatype="7" unbalanced="0"/>
    <cacheHierarchy uniqueName="[Hospital ER_Data].[Patient Admission Time]" caption="Patient Admission Time" attribute="1" time="1" defaultMemberUniqueName="[Hospital ER_Data].[Patient Admission Time].[All]" allUniqueName="[Hospital ER_Data].[Patient Admission Time].[All]" dimensionUniqueName="[Hospital ER_Data]" displayFolder="" count="0" memberValueDatatype="7" unbalanced="0"/>
    <cacheHierarchy uniqueName="[Hospital ER_Data].[Merged]" caption="Merged" attribute="1" defaultMemberUniqueName="[Hospital ER_Data].[Merged].[All]" allUniqueName="[Hospital ER_Data].[Merged].[All]" dimensionUniqueName="[Hospital ER_Data]" displayFolder="" count="0" memberValueDatatype="130" unbalanced="0"/>
    <cacheHierarchy uniqueName="[Hospital ER_Data].[Patient Gender]" caption="Patient Gender" attribute="1" defaultMemberUniqueName="[Hospital ER_Data].[Patient Gender].[All]" allUniqueName="[Hospital ER_Data].[Patient Gender].[All]" dimensionUniqueName="[Hospital ER_Data]" displayFolder="" count="0" memberValueDatatype="130" unbalanced="0"/>
    <cacheHierarchy uniqueName="[Hospital ER_Data].[Patient Age]" caption="Patient Age" attribute="1" defaultMemberUniqueName="[Hospital ER_Data].[Patient Age].[All]" allUniqueName="[Hospital ER_Data].[Patient Age].[All]" dimensionUniqueName="[Hospital ER_Data]" displayFolder="" count="0" memberValueDatatype="20" unbalanced="0"/>
    <cacheHierarchy uniqueName="[Hospital ER_Data].[Patient Race]" caption="Patient Race" attribute="1" defaultMemberUniqueName="[Hospital ER_Data].[Patient Race].[All]" allUniqueName="[Hospital ER_Data].[Patient Race].[All]" dimensionUniqueName="[Hospital ER_Data]" displayFolder="" count="0" memberValueDatatype="130" unbalanced="0"/>
    <cacheHierarchy uniqueName="[Hospital ER_Data].[Department Referral]" caption="Department Referral" attribute="1" defaultMemberUniqueName="[Hospital ER_Data].[Department Referral].[All]" allUniqueName="[Hospital ER_Data].[Department Referral].[All]" dimensionUniqueName="[Hospital ER_Data]" displayFolder="" count="0" memberValueDatatype="130" unbalanced="0"/>
    <cacheHierarchy uniqueName="[Hospital ER_Data].[Patient Admission Flag]" caption="Patient Admission Flag" attribute="1" defaultMemberUniqueName="[Hospital ER_Data].[Patient Admission Flag].[All]" allUniqueName="[Hospital ER_Data].[Patient Admission Flag].[All]" dimensionUniqueName="[Hospital ER_Data]" displayFolder="" count="0" memberValueDatatype="130" unbalanced="0"/>
    <cacheHierarchy uniqueName="[Hospital ER_Data].[Patient Satisfaction Score]" caption="Patient Satisfaction Score" attribute="1" defaultMemberUniqueName="[Hospital ER_Data].[Patient Satisfaction Score].[All]" allUniqueName="[Hospital ER_Data].[Patient Satisfaction Score].[All]" dimensionUniqueName="[Hospital ER_Data]" displayFolder="" count="0" memberValueDatatype="20" unbalanced="0"/>
    <cacheHierarchy uniqueName="[Hospital ER_Data].[Patient Waittime]" caption="Patient Waittime" attribute="1" defaultMemberUniqueName="[Hospital ER_Data].[Patient Waittime].[All]" allUniqueName="[Hospital ER_Data].[Patient Waittime].[All]" dimensionUniqueName="[Hospital ER_Data]" displayFolder="" count="0" memberValueDatatype="20" unbalanced="0"/>
    <cacheHierarchy uniqueName="[Hospital ER_Data].[Patients CM]" caption="Patients CM" attribute="1" defaultMemberUniqueName="[Hospital ER_Data].[Patients CM].[All]" allUniqueName="[Hospital ER_Data].[Patients CM].[All]" dimensionUniqueName="[Hospital ER_Data]" displayFolder="" count="0" memberValueDatatype="20" unbalanced="0"/>
    <cacheHierarchy uniqueName="[Hospital ER_Data].[Age Group]" caption="Age Group" attribute="1" defaultMemberUniqueName="[Hospital ER_Data].[Age Group].[All]" allUniqueName="[Hospital ER_Data].[Age Group].[All]" dimensionUniqueName="[Hospital ER_Data]" displayFolder="" count="0" memberValueDatatype="130" unbalanced="0"/>
    <cacheHierarchy uniqueName="[Hospital ER_Data].[Patient Attend Status]" caption="Patient Attend Status" attribute="1" defaultMemberUniqueName="[Hospital ER_Data].[Patient Attend Status].[All]" allUniqueName="[Hospital ER_Data].[Patient Attend Status].[All]" dimensionUniqueName="[Hospital ER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R_Data]" caption="__XL_Count Hospital ER_Data" measure="1" displayFolder="" measureGroup="Hospital ER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R_Data" count="0" oneField="1" hidden="1">
      <fieldsUsage count="1">
        <fieldUsage x="0"/>
      </fieldsUsage>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R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R_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R_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R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R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R_Data" uniqueName="[Hospital ER_Data]" caption="Hospital ER_Data"/>
    <dimension measure="1" name="Measures" uniqueName="[Measures]" caption="Measures"/>
  </dimensions>
  <measureGroups count="2">
    <measureGroup name="Calender_Table" caption="Calender_Table"/>
    <measureGroup name="Hospital ER_Data" caption="Hospital ER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00.444181365739" createdVersion="5" refreshedVersion="8" minRefreshableVersion="3" recordCount="0" supportSubquery="1" supportAdvancedDrill="1" xr:uid="{9EB4953C-53D5-4BE7-973F-303022605E80}">
  <cacheSource type="external" connectionId="3"/>
  <cacheFields count="4">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R_Data].[Patient Id]" caption="Patient Id" attribute="1" defaultMemberUniqueName="[Hospital ER_Data].[Patient Id].[All]" allUniqueName="[Hospital ER_Data].[Patient Id].[All]" dimensionUniqueName="[Hospital ER_Data]" displayFolder="" count="0" memberValueDatatype="130" unbalanced="0"/>
    <cacheHierarchy uniqueName="[Hospital ER_Data].[Patient Admission Date]" caption="Patient Admission Date" attribute="1" time="1" defaultMemberUniqueName="[Hospital ER_Data].[Patient Admission Date].[All]" allUniqueName="[Hospital ER_Data].[Patient Admission Date].[All]" dimensionUniqueName="[Hospital ER_Data]" displayFolder="" count="0" memberValueDatatype="7" unbalanced="0"/>
    <cacheHierarchy uniqueName="[Hospital ER_Data].[Patient Admission Time]" caption="Patient Admission Time" attribute="1" time="1" defaultMemberUniqueName="[Hospital ER_Data].[Patient Admission Time].[All]" allUniqueName="[Hospital ER_Data].[Patient Admission Time].[All]" dimensionUniqueName="[Hospital ER_Data]" displayFolder="" count="0" memberValueDatatype="7" unbalanced="0"/>
    <cacheHierarchy uniqueName="[Hospital ER_Data].[Merged]" caption="Merged" attribute="1" defaultMemberUniqueName="[Hospital ER_Data].[Merged].[All]" allUniqueName="[Hospital ER_Data].[Merged].[All]" dimensionUniqueName="[Hospital ER_Data]" displayFolder="" count="0" memberValueDatatype="130" unbalanced="0"/>
    <cacheHierarchy uniqueName="[Hospital ER_Data].[Patient Gender]" caption="Patient Gender" attribute="1" defaultMemberUniqueName="[Hospital ER_Data].[Patient Gender].[All]" allUniqueName="[Hospital ER_Data].[Patient Gender].[All]" dimensionUniqueName="[Hospital ER_Data]" displayFolder="" count="0" memberValueDatatype="130" unbalanced="0"/>
    <cacheHierarchy uniqueName="[Hospital ER_Data].[Patient Age]" caption="Patient Age" attribute="1" defaultMemberUniqueName="[Hospital ER_Data].[Patient Age].[All]" allUniqueName="[Hospital ER_Data].[Patient Age].[All]" dimensionUniqueName="[Hospital ER_Data]" displayFolder="" count="0" memberValueDatatype="20" unbalanced="0"/>
    <cacheHierarchy uniqueName="[Hospital ER_Data].[Patient Race]" caption="Patient Race" attribute="1" defaultMemberUniqueName="[Hospital ER_Data].[Patient Race].[All]" allUniqueName="[Hospital ER_Data].[Patient Race].[All]" dimensionUniqueName="[Hospital ER_Data]" displayFolder="" count="0" memberValueDatatype="130" unbalanced="0"/>
    <cacheHierarchy uniqueName="[Hospital ER_Data].[Department Referral]" caption="Department Referral" attribute="1" defaultMemberUniqueName="[Hospital ER_Data].[Department Referral].[All]" allUniqueName="[Hospital ER_Data].[Department Referral].[All]" dimensionUniqueName="[Hospital ER_Data]" displayFolder="" count="0" memberValueDatatype="130" unbalanced="0"/>
    <cacheHierarchy uniqueName="[Hospital ER_Data].[Patient Admission Flag]" caption="Patient Admission Flag" attribute="1" defaultMemberUniqueName="[Hospital ER_Data].[Patient Admission Flag].[All]" allUniqueName="[Hospital ER_Data].[Patient Admission Flag].[All]" dimensionUniqueName="[Hospital ER_Data]" displayFolder="" count="0" memberValueDatatype="130" unbalanced="0"/>
    <cacheHierarchy uniqueName="[Hospital ER_Data].[Patient Satisfaction Score]" caption="Patient Satisfaction Score" attribute="1" defaultMemberUniqueName="[Hospital ER_Data].[Patient Satisfaction Score].[All]" allUniqueName="[Hospital ER_Data].[Patient Satisfaction Score].[All]" dimensionUniqueName="[Hospital ER_Data]" displayFolder="" count="0" memberValueDatatype="20" unbalanced="0"/>
    <cacheHierarchy uniqueName="[Hospital ER_Data].[Patient Waittime]" caption="Patient Waittime" attribute="1" defaultMemberUniqueName="[Hospital ER_Data].[Patient Waittime].[All]" allUniqueName="[Hospital ER_Data].[Patient Waittime].[All]" dimensionUniqueName="[Hospital ER_Data]" displayFolder="" count="0" memberValueDatatype="20" unbalanced="0"/>
    <cacheHierarchy uniqueName="[Hospital ER_Data].[Patients CM]" caption="Patients CM" attribute="1" defaultMemberUniqueName="[Hospital ER_Data].[Patients CM].[All]" allUniqueName="[Hospital ER_Data].[Patients CM].[All]" dimensionUniqueName="[Hospital ER_Data]" displayFolder="" count="0" memberValueDatatype="20" unbalanced="0"/>
    <cacheHierarchy uniqueName="[Hospital ER_Data].[Age Group]" caption="Age Group" attribute="1" defaultMemberUniqueName="[Hospital ER_Data].[Age Group].[All]" allUniqueName="[Hospital ER_Data].[Age Group].[All]" dimensionUniqueName="[Hospital ER_Data]" displayFolder="" count="0" memberValueDatatype="130" unbalanced="0"/>
    <cacheHierarchy uniqueName="[Hospital ER_Data].[Patient Attend Status]" caption="Patient Attend Status" attribute="1" defaultMemberUniqueName="[Hospital ER_Data].[Patient Attend Status].[All]" allUniqueName="[Hospital ER_Data].[Patient Attend Status].[All]" dimensionUniqueName="[Hospital ER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R_Data]" caption="__XL_Count Hospital ER_Data" measure="1" displayFolder="" measureGroup="Hospital ER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R_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R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R_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R_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R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R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R_Data" uniqueName="[Hospital ER_Data]" caption="Hospital ER_Data"/>
    <dimension measure="1" name="Measures" uniqueName="[Measures]" caption="Measures"/>
  </dimensions>
  <measureGroups count="2">
    <measureGroup name="Calender_Table" caption="Calender_Table"/>
    <measureGroup name="Hospital ER_Data" caption="Hospital ER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00.444181828701" createdVersion="5" refreshedVersion="8" minRefreshableVersion="3" recordCount="0" supportSubquery="1" supportAdvancedDrill="1" xr:uid="{C379A139-EF3A-4CF7-8202-BD7F0E4DDA43}">
  <cacheSource type="external" connectionId="3"/>
  <cacheFields count="4">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R_Data].[Patient Id]" caption="Patient Id" attribute="1" defaultMemberUniqueName="[Hospital ER_Data].[Patient Id].[All]" allUniqueName="[Hospital ER_Data].[Patient Id].[All]" dimensionUniqueName="[Hospital ER_Data]" displayFolder="" count="0" memberValueDatatype="130" unbalanced="0"/>
    <cacheHierarchy uniqueName="[Hospital ER_Data].[Patient Admission Date]" caption="Patient Admission Date" attribute="1" time="1" defaultMemberUniqueName="[Hospital ER_Data].[Patient Admission Date].[All]" allUniqueName="[Hospital ER_Data].[Patient Admission Date].[All]" dimensionUniqueName="[Hospital ER_Data]" displayFolder="" count="0" memberValueDatatype="7" unbalanced="0"/>
    <cacheHierarchy uniqueName="[Hospital ER_Data].[Patient Admission Time]" caption="Patient Admission Time" attribute="1" time="1" defaultMemberUniqueName="[Hospital ER_Data].[Patient Admission Time].[All]" allUniqueName="[Hospital ER_Data].[Patient Admission Time].[All]" dimensionUniqueName="[Hospital ER_Data]" displayFolder="" count="0" memberValueDatatype="7" unbalanced="0"/>
    <cacheHierarchy uniqueName="[Hospital ER_Data].[Merged]" caption="Merged" attribute="1" defaultMemberUniqueName="[Hospital ER_Data].[Merged].[All]" allUniqueName="[Hospital ER_Data].[Merged].[All]" dimensionUniqueName="[Hospital ER_Data]" displayFolder="" count="0" memberValueDatatype="130" unbalanced="0"/>
    <cacheHierarchy uniqueName="[Hospital ER_Data].[Patient Gender]" caption="Patient Gender" attribute="1" defaultMemberUniqueName="[Hospital ER_Data].[Patient Gender].[All]" allUniqueName="[Hospital ER_Data].[Patient Gender].[All]" dimensionUniqueName="[Hospital ER_Data]" displayFolder="" count="0" memberValueDatatype="130" unbalanced="0"/>
    <cacheHierarchy uniqueName="[Hospital ER_Data].[Patient Age]" caption="Patient Age" attribute="1" defaultMemberUniqueName="[Hospital ER_Data].[Patient Age].[All]" allUniqueName="[Hospital ER_Data].[Patient Age].[All]" dimensionUniqueName="[Hospital ER_Data]" displayFolder="" count="0" memberValueDatatype="20" unbalanced="0"/>
    <cacheHierarchy uniqueName="[Hospital ER_Data].[Patient Race]" caption="Patient Race" attribute="1" defaultMemberUniqueName="[Hospital ER_Data].[Patient Race].[All]" allUniqueName="[Hospital ER_Data].[Patient Race].[All]" dimensionUniqueName="[Hospital ER_Data]" displayFolder="" count="0" memberValueDatatype="130" unbalanced="0"/>
    <cacheHierarchy uniqueName="[Hospital ER_Data].[Department Referral]" caption="Department Referral" attribute="1" defaultMemberUniqueName="[Hospital ER_Data].[Department Referral].[All]" allUniqueName="[Hospital ER_Data].[Department Referral].[All]" dimensionUniqueName="[Hospital ER_Data]" displayFolder="" count="0" memberValueDatatype="130" unbalanced="0"/>
    <cacheHierarchy uniqueName="[Hospital ER_Data].[Patient Admission Flag]" caption="Patient Admission Flag" attribute="1" defaultMemberUniqueName="[Hospital ER_Data].[Patient Admission Flag].[All]" allUniqueName="[Hospital ER_Data].[Patient Admission Flag].[All]" dimensionUniqueName="[Hospital ER_Data]" displayFolder="" count="0" memberValueDatatype="130" unbalanced="0"/>
    <cacheHierarchy uniqueName="[Hospital ER_Data].[Patient Satisfaction Score]" caption="Patient Satisfaction Score" attribute="1" defaultMemberUniqueName="[Hospital ER_Data].[Patient Satisfaction Score].[All]" allUniqueName="[Hospital ER_Data].[Patient Satisfaction Score].[All]" dimensionUniqueName="[Hospital ER_Data]" displayFolder="" count="0" memberValueDatatype="20" unbalanced="0"/>
    <cacheHierarchy uniqueName="[Hospital ER_Data].[Patient Waittime]" caption="Patient Waittime" attribute="1" defaultMemberUniqueName="[Hospital ER_Data].[Patient Waittime].[All]" allUniqueName="[Hospital ER_Data].[Patient Waittime].[All]" dimensionUniqueName="[Hospital ER_Data]" displayFolder="" count="0" memberValueDatatype="20" unbalanced="0"/>
    <cacheHierarchy uniqueName="[Hospital ER_Data].[Patients CM]" caption="Patients CM" attribute="1" defaultMemberUniqueName="[Hospital ER_Data].[Patients CM].[All]" allUniqueName="[Hospital ER_Data].[Patients CM].[All]" dimensionUniqueName="[Hospital ER_Data]" displayFolder="" count="0" memberValueDatatype="20" unbalanced="0"/>
    <cacheHierarchy uniqueName="[Hospital ER_Data].[Age Group]" caption="Age Group" attribute="1" defaultMemberUniqueName="[Hospital ER_Data].[Age Group].[All]" allUniqueName="[Hospital ER_Data].[Age Group].[All]" dimensionUniqueName="[Hospital ER_Data]" displayFolder="" count="0" memberValueDatatype="130" unbalanced="0"/>
    <cacheHierarchy uniqueName="[Hospital ER_Data].[Patient Attend Status]" caption="Patient Attend Status" attribute="1" defaultMemberUniqueName="[Hospital ER_Data].[Patient Attend Status].[All]" allUniqueName="[Hospital ER_Data].[Patient Attend Status].[All]" dimensionUniqueName="[Hospital ER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R_Data]" caption="__XL_Count Hospital ER_Data" measure="1" displayFolder="" measureGroup="Hospital ER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R_Data" count="0" oneField="1" hidden="1">
      <fieldsUsage count="1">
        <fieldUsage x="2"/>
      </fieldsUsage>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R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R_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R_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R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R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R_Data" uniqueName="[Hospital ER_Data]" caption="Hospital ER_Data"/>
    <dimension measure="1" name="Measures" uniqueName="[Measures]" caption="Measures"/>
  </dimensions>
  <measureGroups count="2">
    <measureGroup name="Calender_Table" caption="Calender_Table"/>
    <measureGroup name="Hospital ER_Data" caption="Hospital ER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00.444182175925" createdVersion="5" refreshedVersion="8" minRefreshableVersion="3" recordCount="0" supportSubquery="1" supportAdvancedDrill="1" xr:uid="{8F1CA663-1ED7-4BF0-A61F-ECADB7451515}">
  <cacheSource type="external" connectionId="3"/>
  <cacheFields count="5">
    <cacheField name="[Calender_Table].[Date (Month)].[Date (Month)]" caption="Date (Month)" numFmtId="0" hierarchy="1" level="1">
      <sharedItems containsSemiMixedTypes="0" containsNonDate="0" containsString="0"/>
    </cacheField>
    <cacheField name="[Hospital ER_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0" level="32767"/>
    <cacheField name="[Calender_Table].[Date (Year)].[Date (Year)]" caption="Date (Year)" numFmtId="0" hierarchy="3" level="1">
      <sharedItems containsSemiMixedTypes="0" containsNonDate="0" containsString="0"/>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R_Data].[Patient Id]" caption="Patient Id" attribute="1" defaultMemberUniqueName="[Hospital ER_Data].[Patient Id].[All]" allUniqueName="[Hospital ER_Data].[Patient Id].[All]" dimensionUniqueName="[Hospital ER_Data]" displayFolder="" count="0" memberValueDatatype="130" unbalanced="0"/>
    <cacheHierarchy uniqueName="[Hospital ER_Data].[Patient Admission Date]" caption="Patient Admission Date" attribute="1" time="1" defaultMemberUniqueName="[Hospital ER_Data].[Patient Admission Date].[All]" allUniqueName="[Hospital ER_Data].[Patient Admission Date].[All]" dimensionUniqueName="[Hospital ER_Data]" displayFolder="" count="0" memberValueDatatype="7" unbalanced="0"/>
    <cacheHierarchy uniqueName="[Hospital ER_Data].[Patient Admission Time]" caption="Patient Admission Time" attribute="1" time="1" defaultMemberUniqueName="[Hospital ER_Data].[Patient Admission Time].[All]" allUniqueName="[Hospital ER_Data].[Patient Admission Time].[All]" dimensionUniqueName="[Hospital ER_Data]" displayFolder="" count="0" memberValueDatatype="7" unbalanced="0"/>
    <cacheHierarchy uniqueName="[Hospital ER_Data].[Merged]" caption="Merged" attribute="1" defaultMemberUniqueName="[Hospital ER_Data].[Merged].[All]" allUniqueName="[Hospital ER_Data].[Merged].[All]" dimensionUniqueName="[Hospital ER_Data]" displayFolder="" count="0" memberValueDatatype="130" unbalanced="0"/>
    <cacheHierarchy uniqueName="[Hospital ER_Data].[Patient Gender]" caption="Patient Gender" attribute="1" defaultMemberUniqueName="[Hospital ER_Data].[Patient Gender].[All]" allUniqueName="[Hospital ER_Data].[Patient Gender].[All]" dimensionUniqueName="[Hospital ER_Data]" displayFolder="" count="0" memberValueDatatype="130" unbalanced="0"/>
    <cacheHierarchy uniqueName="[Hospital ER_Data].[Patient Age]" caption="Patient Age" attribute="1" defaultMemberUniqueName="[Hospital ER_Data].[Patient Age].[All]" allUniqueName="[Hospital ER_Data].[Patient Age].[All]" dimensionUniqueName="[Hospital ER_Data]" displayFolder="" count="0" memberValueDatatype="20" unbalanced="0"/>
    <cacheHierarchy uniqueName="[Hospital ER_Data].[Patient Race]" caption="Patient Race" attribute="1" defaultMemberUniqueName="[Hospital ER_Data].[Patient Race].[All]" allUniqueName="[Hospital ER_Data].[Patient Race].[All]" dimensionUniqueName="[Hospital ER_Data]" displayFolder="" count="0" memberValueDatatype="130" unbalanced="0"/>
    <cacheHierarchy uniqueName="[Hospital ER_Data].[Department Referral]" caption="Department Referral" attribute="1" defaultMemberUniqueName="[Hospital ER_Data].[Department Referral].[All]" allUniqueName="[Hospital ER_Data].[Department Referral].[All]" dimensionUniqueName="[Hospital ER_Data]" displayFolder="" count="0" memberValueDatatype="130" unbalanced="0"/>
    <cacheHierarchy uniqueName="[Hospital ER_Data].[Patient Admission Flag]" caption="Patient Admission Flag" attribute="1" defaultMemberUniqueName="[Hospital ER_Data].[Patient Admission Flag].[All]" allUniqueName="[Hospital ER_Data].[Patient Admission Flag].[All]" dimensionUniqueName="[Hospital ER_Data]" displayFolder="" count="2" memberValueDatatype="130" unbalanced="0">
      <fieldsUsage count="2">
        <fieldUsage x="-1"/>
        <fieldUsage x="1"/>
      </fieldsUsage>
    </cacheHierarchy>
    <cacheHierarchy uniqueName="[Hospital ER_Data].[Patient Satisfaction Score]" caption="Patient Satisfaction Score" attribute="1" defaultMemberUniqueName="[Hospital ER_Data].[Patient Satisfaction Score].[All]" allUniqueName="[Hospital ER_Data].[Patient Satisfaction Score].[All]" dimensionUniqueName="[Hospital ER_Data]" displayFolder="" count="0" memberValueDatatype="20" unbalanced="0"/>
    <cacheHierarchy uniqueName="[Hospital ER_Data].[Patient Waittime]" caption="Patient Waittime" attribute="1" defaultMemberUniqueName="[Hospital ER_Data].[Patient Waittime].[All]" allUniqueName="[Hospital ER_Data].[Patient Waittime].[All]" dimensionUniqueName="[Hospital ER_Data]" displayFolder="" count="0" memberValueDatatype="20" unbalanced="0"/>
    <cacheHierarchy uniqueName="[Hospital ER_Data].[Patients CM]" caption="Patients CM" attribute="1" defaultMemberUniqueName="[Hospital ER_Data].[Patients CM].[All]" allUniqueName="[Hospital ER_Data].[Patients CM].[All]" dimensionUniqueName="[Hospital ER_Data]" displayFolder="" count="0" memberValueDatatype="20" unbalanced="0"/>
    <cacheHierarchy uniqueName="[Hospital ER_Data].[Age Group]" caption="Age Group" attribute="1" defaultMemberUniqueName="[Hospital ER_Data].[Age Group].[All]" allUniqueName="[Hospital ER_Data].[Age Group].[All]" dimensionUniqueName="[Hospital ER_Data]" displayFolder="" count="0" memberValueDatatype="130" unbalanced="0"/>
    <cacheHierarchy uniqueName="[Hospital ER_Data].[Patient Attend Status]" caption="Patient Attend Status" attribute="1" defaultMemberUniqueName="[Hospital ER_Data].[Patient Attend Status].[All]" allUniqueName="[Hospital ER_Data].[Patient Attend Status].[All]" dimensionUniqueName="[Hospital ER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R_Data]" caption="__XL_Count Hospital ER_Data" measure="1" displayFolder="" measureGroup="Hospital ER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R_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R_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R_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R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R_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R_Data" uniqueName="[Hospital ER_Data]" caption="Hospital ER_Data"/>
    <dimension measure="1" name="Measures" uniqueName="[Measures]" caption="Measures"/>
  </dimensions>
  <measureGroups count="2">
    <measureGroup name="Calender_Table" caption="Calender_Table"/>
    <measureGroup name="Hospital ER_Data" caption="Hospital ER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00.444182523148" createdVersion="5" refreshedVersion="8" minRefreshableVersion="3" recordCount="0" supportSubquery="1" supportAdvancedDrill="1" xr:uid="{831A5318-347B-4177-B00A-08883D180F46}">
  <cacheSource type="external" connectionId="3"/>
  <cacheFields count="4">
    <cacheField name="[Calender_Table].[Date (Month)].[Date (Month)]" caption="Date (Month)" numFmtId="0" hierarchy="1" level="1">
      <sharedItems containsSemiMixedTypes="0" containsNonDate="0" containsString="0"/>
    </cacheField>
    <cacheField name="[Hospital ER_Data].[Age Group].[Age Group]" caption="Age Group" numFmtId="0" hierarchy="17" level="1">
      <sharedItems count="8">
        <s v="10-19"/>
        <s v="1-09"/>
        <s v="20-29"/>
        <s v="30-39"/>
        <s v="40-49"/>
        <s v="50-59"/>
        <s v="60-69"/>
        <s v="70-79"/>
      </sharedItems>
    </cacheField>
    <cacheField name="[Measures].[Count of Age Group]" caption="Count of Age Group" numFmtId="0" hierarchy="31"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R_Data].[Patient Id]" caption="Patient Id" attribute="1" defaultMemberUniqueName="[Hospital ER_Data].[Patient Id].[All]" allUniqueName="[Hospital ER_Data].[Patient Id].[All]" dimensionUniqueName="[Hospital ER_Data]" displayFolder="" count="0" memberValueDatatype="130" unbalanced="0"/>
    <cacheHierarchy uniqueName="[Hospital ER_Data].[Patient Admission Date]" caption="Patient Admission Date" attribute="1" time="1" defaultMemberUniqueName="[Hospital ER_Data].[Patient Admission Date].[All]" allUniqueName="[Hospital ER_Data].[Patient Admission Date].[All]" dimensionUniqueName="[Hospital ER_Data]" displayFolder="" count="0" memberValueDatatype="7" unbalanced="0"/>
    <cacheHierarchy uniqueName="[Hospital ER_Data].[Patient Admission Time]" caption="Patient Admission Time" attribute="1" time="1" defaultMemberUniqueName="[Hospital ER_Data].[Patient Admission Time].[All]" allUniqueName="[Hospital ER_Data].[Patient Admission Time].[All]" dimensionUniqueName="[Hospital ER_Data]" displayFolder="" count="0" memberValueDatatype="7" unbalanced="0"/>
    <cacheHierarchy uniqueName="[Hospital ER_Data].[Merged]" caption="Merged" attribute="1" defaultMemberUniqueName="[Hospital ER_Data].[Merged].[All]" allUniqueName="[Hospital ER_Data].[Merged].[All]" dimensionUniqueName="[Hospital ER_Data]" displayFolder="" count="0" memberValueDatatype="130" unbalanced="0"/>
    <cacheHierarchy uniqueName="[Hospital ER_Data].[Patient Gender]" caption="Patient Gender" attribute="1" defaultMemberUniqueName="[Hospital ER_Data].[Patient Gender].[All]" allUniqueName="[Hospital ER_Data].[Patient Gender].[All]" dimensionUniqueName="[Hospital ER_Data]" displayFolder="" count="0" memberValueDatatype="130" unbalanced="0"/>
    <cacheHierarchy uniqueName="[Hospital ER_Data].[Patient Age]" caption="Patient Age" attribute="1" defaultMemberUniqueName="[Hospital ER_Data].[Patient Age].[All]" allUniqueName="[Hospital ER_Data].[Patient Age].[All]" dimensionUniqueName="[Hospital ER_Data]" displayFolder="" count="0" memberValueDatatype="20" unbalanced="0"/>
    <cacheHierarchy uniqueName="[Hospital ER_Data].[Patient Race]" caption="Patient Race" attribute="1" defaultMemberUniqueName="[Hospital ER_Data].[Patient Race].[All]" allUniqueName="[Hospital ER_Data].[Patient Race].[All]" dimensionUniqueName="[Hospital ER_Data]" displayFolder="" count="0" memberValueDatatype="130" unbalanced="0"/>
    <cacheHierarchy uniqueName="[Hospital ER_Data].[Department Referral]" caption="Department Referral" attribute="1" defaultMemberUniqueName="[Hospital ER_Data].[Department Referral].[All]" allUniqueName="[Hospital ER_Data].[Department Referral].[All]" dimensionUniqueName="[Hospital ER_Data]" displayFolder="" count="0" memberValueDatatype="130" unbalanced="0"/>
    <cacheHierarchy uniqueName="[Hospital ER_Data].[Patient Admission Flag]" caption="Patient Admission Flag" attribute="1" defaultMemberUniqueName="[Hospital ER_Data].[Patient Admission Flag].[All]" allUniqueName="[Hospital ER_Data].[Patient Admission Flag].[All]" dimensionUniqueName="[Hospital ER_Data]" displayFolder="" count="0" memberValueDatatype="130" unbalanced="0"/>
    <cacheHierarchy uniqueName="[Hospital ER_Data].[Patient Satisfaction Score]" caption="Patient Satisfaction Score" attribute="1" defaultMemberUniqueName="[Hospital ER_Data].[Patient Satisfaction Score].[All]" allUniqueName="[Hospital ER_Data].[Patient Satisfaction Score].[All]" dimensionUniqueName="[Hospital ER_Data]" displayFolder="" count="0" memberValueDatatype="20" unbalanced="0"/>
    <cacheHierarchy uniqueName="[Hospital ER_Data].[Patient Waittime]" caption="Patient Waittime" attribute="1" defaultMemberUniqueName="[Hospital ER_Data].[Patient Waittime].[All]" allUniqueName="[Hospital ER_Data].[Patient Waittime].[All]" dimensionUniqueName="[Hospital ER_Data]" displayFolder="" count="0" memberValueDatatype="20" unbalanced="0"/>
    <cacheHierarchy uniqueName="[Hospital ER_Data].[Patients CM]" caption="Patients CM" attribute="1" defaultMemberUniqueName="[Hospital ER_Data].[Patients CM].[All]" allUniqueName="[Hospital ER_Data].[Patients CM].[All]" dimensionUniqueName="[Hospital ER_Data]" displayFolder="" count="0" memberValueDatatype="20" unbalanced="0"/>
    <cacheHierarchy uniqueName="[Hospital ER_Data].[Age Group]" caption="Age Group" attribute="1" defaultMemberUniqueName="[Hospital ER_Data].[Age Group].[All]" allUniqueName="[Hospital ER_Data].[Age Group].[All]" dimensionUniqueName="[Hospital ER_Data]" displayFolder="" count="2" memberValueDatatype="130" unbalanced="0">
      <fieldsUsage count="2">
        <fieldUsage x="-1"/>
        <fieldUsage x="1"/>
      </fieldsUsage>
    </cacheHierarchy>
    <cacheHierarchy uniqueName="[Hospital ER_Data].[Patient Attend Status]" caption="Patient Attend Status" attribute="1" defaultMemberUniqueName="[Hospital ER_Data].[Patient Attend Status].[All]" allUniqueName="[Hospital ER_Data].[Patient Attend Status].[All]" dimensionUniqueName="[Hospital ER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R_Data]" caption="__XL_Count Hospital ER_Data" measure="1" displayFolder="" measureGroup="Hospital ER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R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R_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R_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R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R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R_Data" uniqueName="[Hospital ER_Data]" caption="Hospital ER_Data"/>
    <dimension measure="1" name="Measures" uniqueName="[Measures]" caption="Measures"/>
  </dimensions>
  <measureGroups count="2">
    <measureGroup name="Calender_Table" caption="Calender_Table"/>
    <measureGroup name="Hospital ER_Data" caption="Hospital ER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00.444182870371" createdVersion="5" refreshedVersion="8" minRefreshableVersion="3" recordCount="0" supportSubquery="1" supportAdvancedDrill="1" xr:uid="{F65E2C1D-CD79-4C54-AB94-F44B776322D0}">
  <cacheSource type="external" connectionId="3"/>
  <cacheFields count="4">
    <cacheField name="[Calender_Table].[Date (Month)].[Date (Month)]" caption="Date (Month)" numFmtId="0" hierarchy="1" level="1">
      <sharedItems containsSemiMixedTypes="0" containsNonDate="0" containsString="0"/>
    </cacheField>
    <cacheField name="[Hospital ER_Data].[Patient Attend Status].[Patient Attend Status]" caption="Patient Attend Status" numFmtId="0" hierarchy="18" level="1">
      <sharedItems count="2">
        <s v="Delay"/>
        <s v="On Time"/>
      </sharedItems>
    </cacheField>
    <cacheField name="[Measures].[Count of Patient Attend Status]" caption="Count of Patient Attend Status" numFmtId="0" hierarchy="32"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R_Data].[Patient Id]" caption="Patient Id" attribute="1" defaultMemberUniqueName="[Hospital ER_Data].[Patient Id].[All]" allUniqueName="[Hospital ER_Data].[Patient Id].[All]" dimensionUniqueName="[Hospital ER_Data]" displayFolder="" count="0" memberValueDatatype="130" unbalanced="0"/>
    <cacheHierarchy uniqueName="[Hospital ER_Data].[Patient Admission Date]" caption="Patient Admission Date" attribute="1" time="1" defaultMemberUniqueName="[Hospital ER_Data].[Patient Admission Date].[All]" allUniqueName="[Hospital ER_Data].[Patient Admission Date].[All]" dimensionUniqueName="[Hospital ER_Data]" displayFolder="" count="0" memberValueDatatype="7" unbalanced="0"/>
    <cacheHierarchy uniqueName="[Hospital ER_Data].[Patient Admission Time]" caption="Patient Admission Time" attribute="1" time="1" defaultMemberUniqueName="[Hospital ER_Data].[Patient Admission Time].[All]" allUniqueName="[Hospital ER_Data].[Patient Admission Time].[All]" dimensionUniqueName="[Hospital ER_Data]" displayFolder="" count="0" memberValueDatatype="7" unbalanced="0"/>
    <cacheHierarchy uniqueName="[Hospital ER_Data].[Merged]" caption="Merged" attribute="1" defaultMemberUniqueName="[Hospital ER_Data].[Merged].[All]" allUniqueName="[Hospital ER_Data].[Merged].[All]" dimensionUniqueName="[Hospital ER_Data]" displayFolder="" count="0" memberValueDatatype="130" unbalanced="0"/>
    <cacheHierarchy uniqueName="[Hospital ER_Data].[Patient Gender]" caption="Patient Gender" attribute="1" defaultMemberUniqueName="[Hospital ER_Data].[Patient Gender].[All]" allUniqueName="[Hospital ER_Data].[Patient Gender].[All]" dimensionUniqueName="[Hospital ER_Data]" displayFolder="" count="0" memberValueDatatype="130" unbalanced="0"/>
    <cacheHierarchy uniqueName="[Hospital ER_Data].[Patient Age]" caption="Patient Age" attribute="1" defaultMemberUniqueName="[Hospital ER_Data].[Patient Age].[All]" allUniqueName="[Hospital ER_Data].[Patient Age].[All]" dimensionUniqueName="[Hospital ER_Data]" displayFolder="" count="0" memberValueDatatype="20" unbalanced="0"/>
    <cacheHierarchy uniqueName="[Hospital ER_Data].[Patient Race]" caption="Patient Race" attribute="1" defaultMemberUniqueName="[Hospital ER_Data].[Patient Race].[All]" allUniqueName="[Hospital ER_Data].[Patient Race].[All]" dimensionUniqueName="[Hospital ER_Data]" displayFolder="" count="0" memberValueDatatype="130" unbalanced="0"/>
    <cacheHierarchy uniqueName="[Hospital ER_Data].[Department Referral]" caption="Department Referral" attribute="1" defaultMemberUniqueName="[Hospital ER_Data].[Department Referral].[All]" allUniqueName="[Hospital ER_Data].[Department Referral].[All]" dimensionUniqueName="[Hospital ER_Data]" displayFolder="" count="0" memberValueDatatype="130" unbalanced="0"/>
    <cacheHierarchy uniqueName="[Hospital ER_Data].[Patient Admission Flag]" caption="Patient Admission Flag" attribute="1" defaultMemberUniqueName="[Hospital ER_Data].[Patient Admission Flag].[All]" allUniqueName="[Hospital ER_Data].[Patient Admission Flag].[All]" dimensionUniqueName="[Hospital ER_Data]" displayFolder="" count="0" memberValueDatatype="130" unbalanced="0"/>
    <cacheHierarchy uniqueName="[Hospital ER_Data].[Patient Satisfaction Score]" caption="Patient Satisfaction Score" attribute="1" defaultMemberUniqueName="[Hospital ER_Data].[Patient Satisfaction Score].[All]" allUniqueName="[Hospital ER_Data].[Patient Satisfaction Score].[All]" dimensionUniqueName="[Hospital ER_Data]" displayFolder="" count="0" memberValueDatatype="20" unbalanced="0"/>
    <cacheHierarchy uniqueName="[Hospital ER_Data].[Patient Waittime]" caption="Patient Waittime" attribute="1" defaultMemberUniqueName="[Hospital ER_Data].[Patient Waittime].[All]" allUniqueName="[Hospital ER_Data].[Patient Waittime].[All]" dimensionUniqueName="[Hospital ER_Data]" displayFolder="" count="0" memberValueDatatype="20" unbalanced="0"/>
    <cacheHierarchy uniqueName="[Hospital ER_Data].[Patients CM]" caption="Patients CM" attribute="1" defaultMemberUniqueName="[Hospital ER_Data].[Patients CM].[All]" allUniqueName="[Hospital ER_Data].[Patients CM].[All]" dimensionUniqueName="[Hospital ER_Data]" displayFolder="" count="0" memberValueDatatype="20" unbalanced="0"/>
    <cacheHierarchy uniqueName="[Hospital ER_Data].[Age Group]" caption="Age Group" attribute="1" defaultMemberUniqueName="[Hospital ER_Data].[Age Group].[All]" allUniqueName="[Hospital ER_Data].[Age Group].[All]" dimensionUniqueName="[Hospital ER_Data]" displayFolder="" count="0" memberValueDatatype="130" unbalanced="0"/>
    <cacheHierarchy uniqueName="[Hospital ER_Data].[Patient Attend Status]" caption="Patient Attend Status" attribute="1" defaultMemberUniqueName="[Hospital ER_Data].[Patient Attend Status].[All]" allUniqueName="[Hospital ER_Data].[Patient Attend Status].[All]" dimensionUniqueName="[Hospital ER_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R_Data]" caption="__XL_Count Hospital ER_Data" measure="1" displayFolder="" measureGroup="Hospital ER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R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R_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R_Data"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R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R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R_Data" uniqueName="[Hospital ER_Data]" caption="Hospital ER_Data"/>
    <dimension measure="1" name="Measures" uniqueName="[Measures]" caption="Measures"/>
  </dimensions>
  <measureGroups count="2">
    <measureGroup name="Calender_Table" caption="Calender_Table"/>
    <measureGroup name="Hospital ER_Data" caption="Hospital ER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00.444183217594" createdVersion="5" refreshedVersion="8" minRefreshableVersion="3" recordCount="0" supportSubquery="1" supportAdvancedDrill="1" xr:uid="{47092CE3-AAE0-4905-8AA3-5E35CEFC6DF5}">
  <cacheSource type="external" connectionId="3"/>
  <cacheFields count="4">
    <cacheField name="[Calender_Table].[Date (Month)].[Date (Month)]" caption="Date (Month)" numFmtId="0" hierarchy="1" level="1">
      <sharedItems containsSemiMixedTypes="0" containsNonDate="0" containsString="0"/>
    </cacheField>
    <cacheField name="[Hospital ER_Data].[Patient Gender].[Patient Gender]" caption="Patient Gender" numFmtId="0" hierarchy="9" level="1">
      <sharedItems count="2">
        <s v="Female"/>
        <s v="Male"/>
      </sharedItems>
    </cacheField>
    <cacheField name="[Measures].[Count of Patient Gender]" caption="Count of Patient Gender" numFmtId="0" hierarchy="33"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R_Data].[Patient Id]" caption="Patient Id" attribute="1" defaultMemberUniqueName="[Hospital ER_Data].[Patient Id].[All]" allUniqueName="[Hospital ER_Data].[Patient Id].[All]" dimensionUniqueName="[Hospital ER_Data]" displayFolder="" count="0" memberValueDatatype="130" unbalanced="0"/>
    <cacheHierarchy uniqueName="[Hospital ER_Data].[Patient Admission Date]" caption="Patient Admission Date" attribute="1" time="1" defaultMemberUniqueName="[Hospital ER_Data].[Patient Admission Date].[All]" allUniqueName="[Hospital ER_Data].[Patient Admission Date].[All]" dimensionUniqueName="[Hospital ER_Data]" displayFolder="" count="0" memberValueDatatype="7" unbalanced="0"/>
    <cacheHierarchy uniqueName="[Hospital ER_Data].[Patient Admission Time]" caption="Patient Admission Time" attribute="1" time="1" defaultMemberUniqueName="[Hospital ER_Data].[Patient Admission Time].[All]" allUniqueName="[Hospital ER_Data].[Patient Admission Time].[All]" dimensionUniqueName="[Hospital ER_Data]" displayFolder="" count="0" memberValueDatatype="7" unbalanced="0"/>
    <cacheHierarchy uniqueName="[Hospital ER_Data].[Merged]" caption="Merged" attribute="1" defaultMemberUniqueName="[Hospital ER_Data].[Merged].[All]" allUniqueName="[Hospital ER_Data].[Merged].[All]" dimensionUniqueName="[Hospital ER_Data]" displayFolder="" count="0" memberValueDatatype="130" unbalanced="0"/>
    <cacheHierarchy uniqueName="[Hospital ER_Data].[Patient Gender]" caption="Patient Gender" attribute="1" defaultMemberUniqueName="[Hospital ER_Data].[Patient Gender].[All]" allUniqueName="[Hospital ER_Data].[Patient Gender].[All]" dimensionUniqueName="[Hospital ER_Data]" displayFolder="" count="2" memberValueDatatype="130" unbalanced="0">
      <fieldsUsage count="2">
        <fieldUsage x="-1"/>
        <fieldUsage x="1"/>
      </fieldsUsage>
    </cacheHierarchy>
    <cacheHierarchy uniqueName="[Hospital ER_Data].[Patient Age]" caption="Patient Age" attribute="1" defaultMemberUniqueName="[Hospital ER_Data].[Patient Age].[All]" allUniqueName="[Hospital ER_Data].[Patient Age].[All]" dimensionUniqueName="[Hospital ER_Data]" displayFolder="" count="0" memberValueDatatype="20" unbalanced="0"/>
    <cacheHierarchy uniqueName="[Hospital ER_Data].[Patient Race]" caption="Patient Race" attribute="1" defaultMemberUniqueName="[Hospital ER_Data].[Patient Race].[All]" allUniqueName="[Hospital ER_Data].[Patient Race].[All]" dimensionUniqueName="[Hospital ER_Data]" displayFolder="" count="0" memberValueDatatype="130" unbalanced="0"/>
    <cacheHierarchy uniqueName="[Hospital ER_Data].[Department Referral]" caption="Department Referral" attribute="1" defaultMemberUniqueName="[Hospital ER_Data].[Department Referral].[All]" allUniqueName="[Hospital ER_Data].[Department Referral].[All]" dimensionUniqueName="[Hospital ER_Data]" displayFolder="" count="0" memberValueDatatype="130" unbalanced="0"/>
    <cacheHierarchy uniqueName="[Hospital ER_Data].[Patient Admission Flag]" caption="Patient Admission Flag" attribute="1" defaultMemberUniqueName="[Hospital ER_Data].[Patient Admission Flag].[All]" allUniqueName="[Hospital ER_Data].[Patient Admission Flag].[All]" dimensionUniqueName="[Hospital ER_Data]" displayFolder="" count="0" memberValueDatatype="130" unbalanced="0"/>
    <cacheHierarchy uniqueName="[Hospital ER_Data].[Patient Satisfaction Score]" caption="Patient Satisfaction Score" attribute="1" defaultMemberUniqueName="[Hospital ER_Data].[Patient Satisfaction Score].[All]" allUniqueName="[Hospital ER_Data].[Patient Satisfaction Score].[All]" dimensionUniqueName="[Hospital ER_Data]" displayFolder="" count="0" memberValueDatatype="20" unbalanced="0"/>
    <cacheHierarchy uniqueName="[Hospital ER_Data].[Patient Waittime]" caption="Patient Waittime" attribute="1" defaultMemberUniqueName="[Hospital ER_Data].[Patient Waittime].[All]" allUniqueName="[Hospital ER_Data].[Patient Waittime].[All]" dimensionUniqueName="[Hospital ER_Data]" displayFolder="" count="0" memberValueDatatype="20" unbalanced="0"/>
    <cacheHierarchy uniqueName="[Hospital ER_Data].[Patients CM]" caption="Patients CM" attribute="1" defaultMemberUniqueName="[Hospital ER_Data].[Patients CM].[All]" allUniqueName="[Hospital ER_Data].[Patients CM].[All]" dimensionUniqueName="[Hospital ER_Data]" displayFolder="" count="0" memberValueDatatype="20" unbalanced="0"/>
    <cacheHierarchy uniqueName="[Hospital ER_Data].[Age Group]" caption="Age Group" attribute="1" defaultMemberUniqueName="[Hospital ER_Data].[Age Group].[All]" allUniqueName="[Hospital ER_Data].[Age Group].[All]" dimensionUniqueName="[Hospital ER_Data]" displayFolder="" count="0" memberValueDatatype="130" unbalanced="0"/>
    <cacheHierarchy uniqueName="[Hospital ER_Data].[Patient Attend Status]" caption="Patient Attend Status" attribute="1" defaultMemberUniqueName="[Hospital ER_Data].[Patient Attend Status].[All]" allUniqueName="[Hospital ER_Data].[Patient Attend Status].[All]" dimensionUniqueName="[Hospital ER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R_Data]" caption="__XL_Count Hospital ER_Data" measure="1" displayFolder="" measureGroup="Hospital ER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R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R_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R_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R_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R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R_Data" uniqueName="[Hospital ER_Data]" caption="Hospital ER_Data"/>
    <dimension measure="1" name="Measures" uniqueName="[Measures]" caption="Measures"/>
  </dimensions>
  <measureGroups count="2">
    <measureGroup name="Calender_Table" caption="Calender_Table"/>
    <measureGroup name="Hospital ER_Data" caption="Hospital ER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00.444183680556" createdVersion="5" refreshedVersion="8" minRefreshableVersion="3" recordCount="0" supportSubquery="1" supportAdvancedDrill="1" xr:uid="{FF47E4FC-22E7-4E9D-8B8B-6691A60B611A}">
  <cacheSource type="external" connectionId="3"/>
  <cacheFields count="4">
    <cacheField name="[Calender_Table].[Date (Month)].[Date (Month)]" caption="Date (Month)" numFmtId="0" hierarchy="1" level="1">
      <sharedItems containsSemiMixedTypes="0" containsNonDate="0" containsString="0"/>
    </cacheField>
    <cacheField name="[Hospital ER_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R_Data].[Patient Id]" caption="Patient Id" attribute="1" defaultMemberUniqueName="[Hospital ER_Data].[Patient Id].[All]" allUniqueName="[Hospital ER_Data].[Patient Id].[All]" dimensionUniqueName="[Hospital ER_Data]" displayFolder="" count="0" memberValueDatatype="130" unbalanced="0"/>
    <cacheHierarchy uniqueName="[Hospital ER_Data].[Patient Admission Date]" caption="Patient Admission Date" attribute="1" time="1" defaultMemberUniqueName="[Hospital ER_Data].[Patient Admission Date].[All]" allUniqueName="[Hospital ER_Data].[Patient Admission Date].[All]" dimensionUniqueName="[Hospital ER_Data]" displayFolder="" count="0" memberValueDatatype="7" unbalanced="0"/>
    <cacheHierarchy uniqueName="[Hospital ER_Data].[Patient Admission Time]" caption="Patient Admission Time" attribute="1" time="1" defaultMemberUniqueName="[Hospital ER_Data].[Patient Admission Time].[All]" allUniqueName="[Hospital ER_Data].[Patient Admission Time].[All]" dimensionUniqueName="[Hospital ER_Data]" displayFolder="" count="0" memberValueDatatype="7" unbalanced="0"/>
    <cacheHierarchy uniqueName="[Hospital ER_Data].[Merged]" caption="Merged" attribute="1" defaultMemberUniqueName="[Hospital ER_Data].[Merged].[All]" allUniqueName="[Hospital ER_Data].[Merged].[All]" dimensionUniqueName="[Hospital ER_Data]" displayFolder="" count="0" memberValueDatatype="130" unbalanced="0"/>
    <cacheHierarchy uniqueName="[Hospital ER_Data].[Patient Gender]" caption="Patient Gender" attribute="1" defaultMemberUniqueName="[Hospital ER_Data].[Patient Gender].[All]" allUniqueName="[Hospital ER_Data].[Patient Gender].[All]" dimensionUniqueName="[Hospital ER_Data]" displayFolder="" count="0" memberValueDatatype="130" unbalanced="0"/>
    <cacheHierarchy uniqueName="[Hospital ER_Data].[Patient Age]" caption="Patient Age" attribute="1" defaultMemberUniqueName="[Hospital ER_Data].[Patient Age].[All]" allUniqueName="[Hospital ER_Data].[Patient Age].[All]" dimensionUniqueName="[Hospital ER_Data]" displayFolder="" count="0" memberValueDatatype="20" unbalanced="0"/>
    <cacheHierarchy uniqueName="[Hospital ER_Data].[Patient Race]" caption="Patient Race" attribute="1" defaultMemberUniqueName="[Hospital ER_Data].[Patient Race].[All]" allUniqueName="[Hospital ER_Data].[Patient Race].[All]" dimensionUniqueName="[Hospital ER_Data]" displayFolder="" count="0" memberValueDatatype="130" unbalanced="0"/>
    <cacheHierarchy uniqueName="[Hospital ER_Data].[Department Referral]" caption="Department Referral" attribute="1" defaultMemberUniqueName="[Hospital ER_Data].[Department Referral].[All]" allUniqueName="[Hospital ER_Data].[Department Referral].[All]" dimensionUniqueName="[Hospital ER_Data]" displayFolder="" count="2" memberValueDatatype="130" unbalanced="0">
      <fieldsUsage count="2">
        <fieldUsage x="-1"/>
        <fieldUsage x="1"/>
      </fieldsUsage>
    </cacheHierarchy>
    <cacheHierarchy uniqueName="[Hospital ER_Data].[Patient Admission Flag]" caption="Patient Admission Flag" attribute="1" defaultMemberUniqueName="[Hospital ER_Data].[Patient Admission Flag].[All]" allUniqueName="[Hospital ER_Data].[Patient Admission Flag].[All]" dimensionUniqueName="[Hospital ER_Data]" displayFolder="" count="0" memberValueDatatype="130" unbalanced="0"/>
    <cacheHierarchy uniqueName="[Hospital ER_Data].[Patient Satisfaction Score]" caption="Patient Satisfaction Score" attribute="1" defaultMemberUniqueName="[Hospital ER_Data].[Patient Satisfaction Score].[All]" allUniqueName="[Hospital ER_Data].[Patient Satisfaction Score].[All]" dimensionUniqueName="[Hospital ER_Data]" displayFolder="" count="0" memberValueDatatype="20" unbalanced="0"/>
    <cacheHierarchy uniqueName="[Hospital ER_Data].[Patient Waittime]" caption="Patient Waittime" attribute="1" defaultMemberUniqueName="[Hospital ER_Data].[Patient Waittime].[All]" allUniqueName="[Hospital ER_Data].[Patient Waittime].[All]" dimensionUniqueName="[Hospital ER_Data]" displayFolder="" count="0" memberValueDatatype="20" unbalanced="0"/>
    <cacheHierarchy uniqueName="[Hospital ER_Data].[Patients CM]" caption="Patients CM" attribute="1" defaultMemberUniqueName="[Hospital ER_Data].[Patients CM].[All]" allUniqueName="[Hospital ER_Data].[Patients CM].[All]" dimensionUniqueName="[Hospital ER_Data]" displayFolder="" count="0" memberValueDatatype="20" unbalanced="0"/>
    <cacheHierarchy uniqueName="[Hospital ER_Data].[Age Group]" caption="Age Group" attribute="1" defaultMemberUniqueName="[Hospital ER_Data].[Age Group].[All]" allUniqueName="[Hospital ER_Data].[Age Group].[All]" dimensionUniqueName="[Hospital ER_Data]" displayFolder="" count="0" memberValueDatatype="130" unbalanced="0"/>
    <cacheHierarchy uniqueName="[Hospital ER_Data].[Patient Attend Status]" caption="Patient Attend Status" attribute="1" defaultMemberUniqueName="[Hospital ER_Data].[Patient Attend Status].[All]" allUniqueName="[Hospital ER_Data].[Patient Attend Status].[All]" dimensionUniqueName="[Hospital ER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R_Data]" caption="__XL_Count Hospital ER_Data" measure="1" displayFolder="" measureGroup="Hospital ER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R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R_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R_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R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R_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R_Data" uniqueName="[Hospital ER_Data]" caption="Hospital ER_Data"/>
    <dimension measure="1" name="Measures" uniqueName="[Measures]" caption="Measures"/>
  </dimensions>
  <measureGroups count="2">
    <measureGroup name="Calender_Table" caption="Calender_Table"/>
    <measureGroup name="Hospital ER_Data" caption="Hospital ER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00.444184259257" createdVersion="5" refreshedVersion="8" minRefreshableVersion="3" recordCount="0" supportSubquery="1" supportAdvancedDrill="1" xr:uid="{F5EEFBBA-05E4-4930-91E1-99A834A5B062}">
  <cacheSource type="external" connectionId="3"/>
  <cacheFields count="4">
    <cacheField name="[Calender_Table].[Date (Month)].[Date (Month)]" caption="Date (Month)" numFmtId="0" hierarchy="1" level="1">
      <sharedItems count="1">
        <s v="Jan"/>
      </sharedItems>
    </cacheField>
    <cacheField name="[Calende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er_Table].[Date (Quarter)].[Date (Quarter)]" caption="Date (Quarter)" numFmtId="0" hierarchy="4" level="1">
      <sharedItems count="1">
        <s v="Qtr1"/>
      </sharedItems>
    </cacheField>
    <cacheField name="[Calender_Table].[Date (Year)].[Date (Year)]" caption="Date (Year)" numFmtId="0" hierarchy="3" level="1">
      <sharedItems count="1">
        <s v="2024"/>
      </sharedItems>
    </cacheField>
  </cacheFields>
  <cacheHierarchies count="35">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R_Data].[Patient Id]" caption="Patient Id" attribute="1" defaultMemberUniqueName="[Hospital ER_Data].[Patient Id].[All]" allUniqueName="[Hospital ER_Data].[Patient Id].[All]" dimensionUniqueName="[Hospital ER_Data]" displayFolder="" count="2" memberValueDatatype="130" unbalanced="0"/>
    <cacheHierarchy uniqueName="[Hospital ER_Data].[Patient Admission Date]" caption="Patient Admission Date" attribute="1" time="1" defaultMemberUniqueName="[Hospital ER_Data].[Patient Admission Date].[All]" allUniqueName="[Hospital ER_Data].[Patient Admission Date].[All]" dimensionUniqueName="[Hospital ER_Data]" displayFolder="" count="2" memberValueDatatype="7" unbalanced="0"/>
    <cacheHierarchy uniqueName="[Hospital ER_Data].[Patient Admission Time]" caption="Patient Admission Time" attribute="1" time="1" defaultMemberUniqueName="[Hospital ER_Data].[Patient Admission Time].[All]" allUniqueName="[Hospital ER_Data].[Patient Admission Time].[All]" dimensionUniqueName="[Hospital ER_Data]" displayFolder="" count="2" memberValueDatatype="7" unbalanced="0"/>
    <cacheHierarchy uniqueName="[Hospital ER_Data].[Merged]" caption="Merged" attribute="1" defaultMemberUniqueName="[Hospital ER_Data].[Merged].[All]" allUniqueName="[Hospital ER_Data].[Merged].[All]" dimensionUniqueName="[Hospital ER_Data]" displayFolder="" count="2" memberValueDatatype="130" unbalanced="0"/>
    <cacheHierarchy uniqueName="[Hospital ER_Data].[Patient Gender]" caption="Patient Gender" attribute="1" defaultMemberUniqueName="[Hospital ER_Data].[Patient Gender].[All]" allUniqueName="[Hospital ER_Data].[Patient Gender].[All]" dimensionUniqueName="[Hospital ER_Data]" displayFolder="" count="2" memberValueDatatype="130" unbalanced="0"/>
    <cacheHierarchy uniqueName="[Hospital ER_Data].[Patient Age]" caption="Patient Age" attribute="1" defaultMemberUniqueName="[Hospital ER_Data].[Patient Age].[All]" allUniqueName="[Hospital ER_Data].[Patient Age].[All]" dimensionUniqueName="[Hospital ER_Data]" displayFolder="" count="2" memberValueDatatype="20" unbalanced="0"/>
    <cacheHierarchy uniqueName="[Hospital ER_Data].[Patient Race]" caption="Patient Race" attribute="1" defaultMemberUniqueName="[Hospital ER_Data].[Patient Race].[All]" allUniqueName="[Hospital ER_Data].[Patient Race].[All]" dimensionUniqueName="[Hospital ER_Data]" displayFolder="" count="2" memberValueDatatype="130" unbalanced="0"/>
    <cacheHierarchy uniqueName="[Hospital ER_Data].[Department Referral]" caption="Department Referral" attribute="1" defaultMemberUniqueName="[Hospital ER_Data].[Department Referral].[All]" allUniqueName="[Hospital ER_Data].[Department Referral].[All]" dimensionUniqueName="[Hospital ER_Data]" displayFolder="" count="2" memberValueDatatype="130" unbalanced="0"/>
    <cacheHierarchy uniqueName="[Hospital ER_Data].[Patient Admission Flag]" caption="Patient Admission Flag" attribute="1" defaultMemberUniqueName="[Hospital ER_Data].[Patient Admission Flag].[All]" allUniqueName="[Hospital ER_Data].[Patient Admission Flag].[All]" dimensionUniqueName="[Hospital ER_Data]" displayFolder="" count="2" memberValueDatatype="130" unbalanced="0"/>
    <cacheHierarchy uniqueName="[Hospital ER_Data].[Patient Satisfaction Score]" caption="Patient Satisfaction Score" attribute="1" defaultMemberUniqueName="[Hospital ER_Data].[Patient Satisfaction Score].[All]" allUniqueName="[Hospital ER_Data].[Patient Satisfaction Score].[All]" dimensionUniqueName="[Hospital ER_Data]" displayFolder="" count="2" memberValueDatatype="20" unbalanced="0"/>
    <cacheHierarchy uniqueName="[Hospital ER_Data].[Patient Waittime]" caption="Patient Waittime" attribute="1" defaultMemberUniqueName="[Hospital ER_Data].[Patient Waittime].[All]" allUniqueName="[Hospital ER_Data].[Patient Waittime].[All]" dimensionUniqueName="[Hospital ER_Data]" displayFolder="" count="2" memberValueDatatype="20" unbalanced="0"/>
    <cacheHierarchy uniqueName="[Hospital ER_Data].[Patients CM]" caption="Patients CM" attribute="1" defaultMemberUniqueName="[Hospital ER_Data].[Patients CM].[All]" allUniqueName="[Hospital ER_Data].[Patients CM].[All]" dimensionUniqueName="[Hospital ER_Data]" displayFolder="" count="2" memberValueDatatype="20" unbalanced="0"/>
    <cacheHierarchy uniqueName="[Hospital ER_Data].[Age Group]" caption="Age Group" attribute="1" defaultMemberUniqueName="[Hospital ER_Data].[Age Group].[All]" allUniqueName="[Hospital ER_Data].[Age Group].[All]" dimensionUniqueName="[Hospital ER_Data]" displayFolder="" count="2" memberValueDatatype="130" unbalanced="0"/>
    <cacheHierarchy uniqueName="[Hospital ER_Data].[Patient Attend Status]" caption="Patient Attend Status" attribute="1" defaultMemberUniqueName="[Hospital ER_Data].[Patient Attend Status].[All]" allUniqueName="[Hospital ER_Data].[Patient Attend Status].[All]" dimensionUniqueName="[Hospital ER_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R_Data]" caption="__XL_Count Hospital ER_Data" measure="1" displayFolder="" measureGroup="Hospital ER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R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R_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R_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R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R_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R_Data" uniqueName="[Hospital ER_Data]" caption="Hospital ER_Data"/>
    <dimension measure="1" name="Measures" uniqueName="[Measures]" caption="Measures"/>
  </dimensions>
  <measureGroups count="2">
    <measureGroup name="Calender_Table" caption="Calender_Table"/>
    <measureGroup name="Hospital ER_Data" caption="Hospital ER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00.430202314812" createdVersion="3" refreshedVersion="8" minRefreshableVersion="3" recordCount="0" supportSubquery="1" supportAdvancedDrill="1" xr:uid="{68C54DC4-DD0E-4769-ABCA-D99AB32F36FD}">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R_Data].[Patient Id]" caption="Patient Id" attribute="1" defaultMemberUniqueName="[Hospital ER_Data].[Patient Id].[All]" allUniqueName="[Hospital ER_Data].[Patient Id].[All]" dimensionUniqueName="[Hospital ER_Data]" displayFolder="" count="0" memberValueDatatype="130" unbalanced="0"/>
    <cacheHierarchy uniqueName="[Hospital ER_Data].[Patient Admission Date]" caption="Patient Admission Date" attribute="1" time="1" defaultMemberUniqueName="[Hospital ER_Data].[Patient Admission Date].[All]" allUniqueName="[Hospital ER_Data].[Patient Admission Date].[All]" dimensionUniqueName="[Hospital ER_Data]" displayFolder="" count="0" memberValueDatatype="7" unbalanced="0"/>
    <cacheHierarchy uniqueName="[Hospital ER_Data].[Patient Admission Time]" caption="Patient Admission Time" attribute="1" time="1" defaultMemberUniqueName="[Hospital ER_Data].[Patient Admission Time].[All]" allUniqueName="[Hospital ER_Data].[Patient Admission Time].[All]" dimensionUniqueName="[Hospital ER_Data]" displayFolder="" count="0" memberValueDatatype="7" unbalanced="0"/>
    <cacheHierarchy uniqueName="[Hospital ER_Data].[Merged]" caption="Merged" attribute="1" defaultMemberUniqueName="[Hospital ER_Data].[Merged].[All]" allUniqueName="[Hospital ER_Data].[Merged].[All]" dimensionUniqueName="[Hospital ER_Data]" displayFolder="" count="0" memberValueDatatype="130" unbalanced="0"/>
    <cacheHierarchy uniqueName="[Hospital ER_Data].[Patient Gender]" caption="Patient Gender" attribute="1" defaultMemberUniqueName="[Hospital ER_Data].[Patient Gender].[All]" allUniqueName="[Hospital ER_Data].[Patient Gender].[All]" dimensionUniqueName="[Hospital ER_Data]" displayFolder="" count="0" memberValueDatatype="130" unbalanced="0"/>
    <cacheHierarchy uniqueName="[Hospital ER_Data].[Patient Age]" caption="Patient Age" attribute="1" defaultMemberUniqueName="[Hospital ER_Data].[Patient Age].[All]" allUniqueName="[Hospital ER_Data].[Patient Age].[All]" dimensionUniqueName="[Hospital ER_Data]" displayFolder="" count="0" memberValueDatatype="20" unbalanced="0"/>
    <cacheHierarchy uniqueName="[Hospital ER_Data].[Patient Race]" caption="Patient Race" attribute="1" defaultMemberUniqueName="[Hospital ER_Data].[Patient Race].[All]" allUniqueName="[Hospital ER_Data].[Patient Race].[All]" dimensionUniqueName="[Hospital ER_Data]" displayFolder="" count="0" memberValueDatatype="130" unbalanced="0"/>
    <cacheHierarchy uniqueName="[Hospital ER_Data].[Department Referral]" caption="Department Referral" attribute="1" defaultMemberUniqueName="[Hospital ER_Data].[Department Referral].[All]" allUniqueName="[Hospital ER_Data].[Department Referral].[All]" dimensionUniqueName="[Hospital ER_Data]" displayFolder="" count="0" memberValueDatatype="130" unbalanced="0"/>
    <cacheHierarchy uniqueName="[Hospital ER_Data].[Patient Admission Flag]" caption="Patient Admission Flag" attribute="1" defaultMemberUniqueName="[Hospital ER_Data].[Patient Admission Flag].[All]" allUniqueName="[Hospital ER_Data].[Patient Admission Flag].[All]" dimensionUniqueName="[Hospital ER_Data]" displayFolder="" count="0" memberValueDatatype="130" unbalanced="0"/>
    <cacheHierarchy uniqueName="[Hospital ER_Data].[Patient Satisfaction Score]" caption="Patient Satisfaction Score" attribute="1" defaultMemberUniqueName="[Hospital ER_Data].[Patient Satisfaction Score].[All]" allUniqueName="[Hospital ER_Data].[Patient Satisfaction Score].[All]" dimensionUniqueName="[Hospital ER_Data]" displayFolder="" count="0" memberValueDatatype="20" unbalanced="0"/>
    <cacheHierarchy uniqueName="[Hospital ER_Data].[Patient Waittime]" caption="Patient Waittime" attribute="1" defaultMemberUniqueName="[Hospital ER_Data].[Patient Waittime].[All]" allUniqueName="[Hospital ER_Data].[Patient Waittime].[All]" dimensionUniqueName="[Hospital ER_Data]" displayFolder="" count="0" memberValueDatatype="20" unbalanced="0"/>
    <cacheHierarchy uniqueName="[Hospital ER_Data].[Patients CM]" caption="Patients CM" attribute="1" defaultMemberUniqueName="[Hospital ER_Data].[Patients CM].[All]" allUniqueName="[Hospital ER_Data].[Patients CM].[All]" dimensionUniqueName="[Hospital ER_Data]" displayFolder="" count="0" memberValueDatatype="20" unbalanced="0"/>
    <cacheHierarchy uniqueName="[Hospital ER_Data].[Age Group]" caption="Age Group" attribute="1" defaultMemberUniqueName="[Hospital ER_Data].[Age Group].[All]" allUniqueName="[Hospital ER_Data].[Age Group].[All]" dimensionUniqueName="[Hospital ER_Data]" displayFolder="" count="0" memberValueDatatype="130" unbalanced="0"/>
    <cacheHierarchy uniqueName="[Hospital ER_Data].[Patient Attend Status]" caption="Patient Attend Status" attribute="1" defaultMemberUniqueName="[Hospital ER_Data].[Patient Attend Status].[All]" allUniqueName="[Hospital ER_Data].[Patient Attend Status].[All]" dimensionUniqueName="[Hospital ER_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R_Data]" caption="__XL_Count Hospital ER_Data" measure="1" displayFolder="" measureGroup="Hospital ER_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Distinct Count of Patient Id]" caption="Distinct 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R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R_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R_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R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R_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35812736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BC1ADF-C750-49CF-B599-B61E840292C1}" name="PivotTable12" cacheId="1242" applyNumberFormats="0" applyBorderFormats="0" applyFontFormats="0" applyPatternFormats="0" applyAlignmentFormats="0" applyWidthHeightFormats="1" dataCaption="Values" tag="cb705ea7-b34d-46d3-b6ef-0fa444ef692c" updatedVersion="8" minRefreshableVersion="3" subtotalHiddenItems="1" itemPrintTitles="1" createdVersion="5" indent="0" outline="1" outlineData="1" multipleFieldFilters="0" chartFormat="6">
  <location ref="A59:A61" firstHeaderRow="1" firstDataRow="1" firstDataCol="1"/>
  <pivotFields count="4">
    <pivotField axis="axisRow" allDrilled="1" subtotalTop="0" showAll="0" dataSourceSort="1" defaultSubtotal="0">
      <items count="1">
        <item s="1"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118">
      <pivotArea outline="0" collapsedLevelsAreSubtotals="1" fieldPosition="0"/>
    </format>
  </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94DC1A-589A-4301-802C-4163BDEC2C47}" name="PivotTable11" cacheId="1239" applyNumberFormats="0" applyBorderFormats="0" applyFontFormats="0" applyPatternFormats="0" applyAlignmentFormats="0" applyWidthHeightFormats="1" dataCaption="Values" tag="cb705ea7-b34d-46d3-b6ef-0fa444ef692c" updatedVersion="8" minRefreshableVersion="3" subtotalHiddenItems="1" itemPrintTitles="1" createdVersion="5" indent="0" outline="1" outlineData="1" multipleFieldFilters="0" chartFormat="33">
  <location ref="G54:H63"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1"/>
    </i>
    <i>
      <x v="7"/>
    </i>
    <i>
      <x v="3"/>
    </i>
    <i>
      <x v="6"/>
    </i>
    <i>
      <x/>
    </i>
    <i>
      <x v="5"/>
    </i>
    <i>
      <x v="2"/>
    </i>
    <i>
      <x v="4"/>
    </i>
    <i t="grand">
      <x/>
    </i>
  </rowItems>
  <colItems count="1">
    <i/>
  </colItems>
  <dataFields count="1">
    <dataField name="Count of Department Referral" fld="2" subtotal="count" baseField="0" baseItem="0"/>
  </dataFields>
  <formats count="2">
    <format dxfId="234">
      <pivotArea outline="0" collapsedLevelsAreSubtotals="1" fieldPosition="0"/>
    </format>
    <format dxfId="233">
      <pivotArea collapsedLevelsAreSubtotals="1" fieldPosition="0">
        <references count="1">
          <reference field="1" count="0"/>
        </references>
      </pivotArea>
    </format>
  </formats>
  <chartFormats count="1">
    <chartFormat chart="29"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8973DF-43DE-45D2-8872-9E04FE19DEFF}" name="PivotTable10" cacheId="1236" applyNumberFormats="0" applyBorderFormats="0" applyFontFormats="0" applyPatternFormats="0" applyAlignmentFormats="0" applyWidthHeightFormats="1" dataCaption="Values" tag="cb705ea7-b34d-46d3-b6ef-0fa444ef692c" updatedVersion="8" minRefreshableVersion="3" subtotalHiddenItems="1" itemPrintTitles="1" createdVersion="5" indent="0" outline="1" outlineData="1" multipleFieldFilters="0" chartFormat="26">
  <location ref="D54:E5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235">
      <pivotArea outline="0" collapsedLevelsAreSubtotals="1" fieldPosition="0"/>
    </format>
  </formats>
  <chartFormats count="3">
    <chartFormat chart="21" format="4" series="1">
      <pivotArea type="data" outline="0" fieldPosition="0">
        <references count="1">
          <reference field="4294967294" count="1" selected="0">
            <x v="0"/>
          </reference>
        </references>
      </pivotArea>
    </chartFormat>
    <chartFormat chart="21" format="5">
      <pivotArea type="data" outline="0" fieldPosition="0">
        <references count="2">
          <reference field="4294967294" count="1" selected="0">
            <x v="0"/>
          </reference>
          <reference field="1" count="1" selected="0">
            <x v="0"/>
          </reference>
        </references>
      </pivotArea>
    </chartFormat>
    <chartFormat chart="21"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5DC608-26F9-4E4A-91A0-27E07FD745DC}" name="PivotTable9" cacheId="1233" applyNumberFormats="0" applyBorderFormats="0" applyFontFormats="0" applyPatternFormats="0" applyAlignmentFormats="0" applyWidthHeightFormats="1" dataCaption="Values" tag="cb705ea7-b34d-46d3-b6ef-0fa444ef692c" updatedVersion="8" minRefreshableVersion="3" subtotalHiddenItems="1" itemPrintTitles="1" createdVersion="5" indent="0" outline="1" outlineData="1" multipleFieldFilters="0" chartFormat="18">
  <location ref="D48:E5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2">
    <format dxfId="237">
      <pivotArea outline="0" collapsedLevelsAreSubtotals="1" fieldPosition="0"/>
    </format>
    <format dxfId="236">
      <pivotArea collapsedLevelsAreSubtotals="1" fieldPosition="0">
        <references count="1">
          <reference field="1" count="0"/>
        </references>
      </pivotArea>
    </format>
  </formats>
  <chartFormats count="3">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1" count="1" selected="0">
            <x v="0"/>
          </reference>
        </references>
      </pivotArea>
    </chartFormat>
    <chartFormat chart="9"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CC21E1-CDA7-4C8A-93E3-9AF2B7329C04}" name="PivotTable8" cacheId="1230" applyNumberFormats="0" applyBorderFormats="0" applyFontFormats="0" applyPatternFormats="0" applyAlignmentFormats="0" applyWidthHeightFormats="1" dataCaption="Values" tag="cb705ea7-b34d-46d3-b6ef-0fa444ef692c" updatedVersion="8" minRefreshableVersion="3" subtotalHiddenItems="1" itemPrintTitles="1" createdVersion="5" indent="0" outline="1" outlineData="1" multipleFieldFilters="0" chartFormat="6">
  <location ref="A48:B5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238">
      <pivotArea outline="0" collapsedLevelsAreSubtotals="1" fieldPosition="0"/>
    </format>
    <format dxfId="239">
      <pivotArea collapsedLevelsAreSubtotals="1" fieldPosition="0">
        <references count="1">
          <reference field="1" count="0"/>
        </references>
      </pivotArea>
    </format>
  </formats>
  <chartFormats count="1">
    <chartFormat chart="5"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EDEB3FA-AD54-4AFC-9B53-D1EB120FF61F}" name="PivotTable1" cacheId="1212" applyNumberFormats="0" applyBorderFormats="0" applyFontFormats="0" applyPatternFormats="0" applyAlignmentFormats="0" applyWidthHeightFormats="1" dataCaption="Values" tag="85375a3a-1334-4bd5-82dd-176bbbbad0ac" updatedVersion="8" minRefreshableVersion="3" itemPrintTitles="1" createdVersion="5" indent="0" outline="1" outlineData="1" multipleFieldFilters="0">
  <location ref="A1:A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Patient Id" fld="0" subtotal="count" baseField="0" baseItem="0"/>
  </dataField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665B31A-F141-4A8A-BB19-BA7917F0DCB9}" name="PivotTable7" cacheId="1227" applyNumberFormats="0" applyBorderFormats="0" applyFontFormats="0" applyPatternFormats="0" applyAlignmentFormats="0" applyWidthHeightFormats="1" dataCaption="Values" tag="cb705ea7-b34d-46d3-b6ef-0fa444ef692c" updatedVersion="8" minRefreshableVersion="3" itemPrintTitles="1" createdVersion="5" indent="0" outline="1" outlineData="1" multipleFieldFilters="0" chartFormat="2">
  <location ref="A37:C40"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2">
    <format dxfId="241">
      <pivotArea outline="0" collapsedLevelsAreSubtotals="1" fieldPosition="0"/>
    </format>
    <format dxfId="240">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0CCE22A-0D66-4D6F-9951-7821BC89F0F3}" name="PivotTable6" cacheId="1224" applyNumberFormats="0" applyBorderFormats="0" applyFontFormats="0" applyPatternFormats="0" applyAlignmentFormats="0" applyWidthHeightFormats="1" dataCaption="Values" tag="85375a3a-1334-4bd5-82dd-176bbbbad0ac" updatedVersion="8" minRefreshableVersion="3" subtotalHiddenItems="1" itemPrintTitles="1" createdVersion="5" indent="0" outline="1" outlineData="1" multipleFieldFilters="0" chartFormat="40">
  <location ref="L3:M35"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2">
    <format dxfId="243">
      <pivotArea collapsedLevelsAreSubtotals="1" fieldPosition="0">
        <references count="1">
          <reference field="0" count="0"/>
        </references>
      </pivotArea>
    </format>
    <format dxfId="242">
      <pivotArea grandRow="1" outline="0" collapsedLevelsAreSubtotals="1" fieldPosition="0"/>
    </format>
  </formats>
  <chartFormats count="2">
    <chartFormat chart="36" format="2"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caption="Distinct Count of Patient 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EC3D25C-EC35-4F26-A56D-DB5123B71B9D}" name="PivotTable4" cacheId="1209" applyNumberFormats="0" applyBorderFormats="0" applyFontFormats="0" applyPatternFormats="0" applyAlignmentFormats="0" applyWidthHeightFormats="1" dataCaption="Values" tag="85375a3a-1334-4bd5-82dd-176bbbbad0ac" updatedVersion="8" minRefreshableVersion="3" subtotalHiddenItems="1" itemPrintTitles="1" createdVersion="5" indent="0" outline="1" outlineData="1" multipleFieldFilters="0" chartFormat="24">
  <location ref="D3:E35"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1" subtotal="count" baseField="0" baseItem="1">
      <extLst>
        <ext xmlns:x15="http://schemas.microsoft.com/office/spreadsheetml/2010/11/main" uri="{FABC7310-3BB5-11E1-824E-6D434824019B}">
          <x15:dataField isCountDistinct="1"/>
        </ext>
      </extLst>
    </dataField>
  </dataFields>
  <chartFormats count="2">
    <chartFormat chart="3" format="8" series="1">
      <pivotArea type="data" outline="0" fieldPosition="0">
        <references count="1">
          <reference field="4294967294" count="1" selected="0">
            <x v="0"/>
          </reference>
        </references>
      </pivotArea>
    </chartFormat>
    <chartFormat chart="21" format="16"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Distinct Count of Patient 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2146BCA-FA65-4914-8FF4-5DD92540B1EC}" name="PivotTable5" cacheId="1221" applyNumberFormats="0" applyBorderFormats="0" applyFontFormats="0" applyPatternFormats="0" applyAlignmentFormats="0" applyWidthHeightFormats="1" dataCaption="Values" tag="85375a3a-1334-4bd5-82dd-176bbbbad0ac" updatedVersion="8" minRefreshableVersion="3" subtotalHiddenItems="1" itemPrintTitles="1" createdVersion="5" indent="0" outline="1" outlineData="1" multipleFieldFilters="0" chartFormat="33">
  <location ref="H3:I35"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2">
    <format dxfId="245">
      <pivotArea collapsedLevelsAreSubtotals="1" fieldPosition="0">
        <references count="1">
          <reference field="0" count="0"/>
        </references>
      </pivotArea>
    </format>
    <format dxfId="244">
      <pivotArea grandRow="1" outline="0" collapsedLevelsAreSubtotals="1" fieldPosition="0"/>
    </format>
  </formats>
  <chartFormats count="2">
    <chartFormat chart="27" format="2"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caption="Distinct Count of Patient 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_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24C95B1-FDB5-49B6-AE0B-2455E9BF3440}" name="PivotTable3" cacheId="1218" applyNumberFormats="0" applyBorderFormats="0" applyFontFormats="0" applyPatternFormats="0" applyAlignmentFormats="0" applyWidthHeightFormats="1" dataCaption="Values" tag="26628910-915e-4618-b844-5c9ec976e3df" updatedVersion="8" minRefreshableVersion="3" itemPrintTitles="1" createdVersion="5" indent="0" outline="1" outlineData="1" multipleFieldFilters="0">
  <location ref="A7:A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246">
      <pivotArea outline="0" collapsedLevelsAreSubtotals="1" fieldPosition="0"/>
    </format>
  </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5A89E06-9554-4089-9D80-FC9BFD983378}" name="PivotTable2" cacheId="1215" applyNumberFormats="0" applyBorderFormats="0" applyFontFormats="0" applyPatternFormats="0" applyAlignmentFormats="0" applyWidthHeightFormats="1" dataCaption="Values" tag="cb705ea7-b34d-46d3-b6ef-0fa444ef692c" updatedVersion="8" minRefreshableVersion="3" itemPrintTitles="1" createdVersion="5" indent="0" outline="1" outlineData="1" multipleFieldFilters="0">
  <location ref="B4:B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247">
      <pivotArea outline="0" collapsedLevelsAreSubtotals="1" fieldPosition="0"/>
    </format>
  </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_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28187800-62BF-4828-9291-A3D3A2863EF1}" sourceName="[Calende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358127362">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685DF954-DA2B-4936-8CBB-2DBE59F3CA62}" sourceName="[Calende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358127362">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7CEBC687-178E-49DC-84B9-E154BCE77F80}" cache="Slicer_Date__Month" caption="Date (Month)" showCaption="0" level="1" style="green filter" rowHeight="288000"/>
  <slicer name="Date (Year)" xr10:uid="{B6262767-9431-4F56-AB9B-0E1930F7E207}" cache="Slicer_Date__Year" caption="Date (Year)" columnCount="2" showCaption="0" level="1" style="green filter" rowHeight="32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F4601-A869-40A6-B69B-23D27258F828}">
  <dimension ref="A1:M63"/>
  <sheetViews>
    <sheetView topLeftCell="A45" workbookViewId="0">
      <selection activeCell="A59" sqref="A59"/>
    </sheetView>
  </sheetViews>
  <sheetFormatPr defaultRowHeight="14.4" x14ac:dyDescent="0.3"/>
  <cols>
    <col min="1" max="1" width="17.33203125" customWidth="1"/>
    <col min="2" max="2" width="28.109375" bestFit="1" customWidth="1"/>
    <col min="3" max="3" width="8.88671875" customWidth="1"/>
    <col min="4" max="4" width="24" customWidth="1"/>
    <col min="5" max="5" width="20.21875" customWidth="1"/>
    <col min="7" max="7" width="11.44140625" customWidth="1"/>
    <col min="8" max="8" width="21.6640625" bestFit="1" customWidth="1"/>
    <col min="9" max="9" width="23.88671875" bestFit="1" customWidth="1"/>
    <col min="13" max="13" width="32.44140625" bestFit="1" customWidth="1"/>
  </cols>
  <sheetData>
    <row r="1" spans="1:13" x14ac:dyDescent="0.3">
      <c r="A1" t="s">
        <v>0</v>
      </c>
    </row>
    <row r="2" spans="1:13" x14ac:dyDescent="0.3">
      <c r="A2" s="16">
        <v>513</v>
      </c>
      <c r="D2" t="s">
        <v>38</v>
      </c>
      <c r="H2" t="s">
        <v>39</v>
      </c>
    </row>
    <row r="3" spans="1:13" x14ac:dyDescent="0.3">
      <c r="D3" s="4" t="s">
        <v>3</v>
      </c>
      <c r="E3" t="s">
        <v>5</v>
      </c>
      <c r="H3" s="4" t="s">
        <v>3</v>
      </c>
      <c r="I3" t="s">
        <v>1</v>
      </c>
      <c r="L3" s="4" t="s">
        <v>3</v>
      </c>
      <c r="M3" t="s">
        <v>2</v>
      </c>
    </row>
    <row r="4" spans="1:13" x14ac:dyDescent="0.3">
      <c r="B4" t="s">
        <v>1</v>
      </c>
      <c r="D4" s="5" t="s">
        <v>6</v>
      </c>
      <c r="E4" s="16">
        <v>19</v>
      </c>
      <c r="H4" s="5" t="s">
        <v>6</v>
      </c>
      <c r="I4" s="1">
        <v>37.789473684210527</v>
      </c>
      <c r="L4" s="5" t="s">
        <v>6</v>
      </c>
      <c r="M4" s="1">
        <v>6.666666666666667</v>
      </c>
    </row>
    <row r="5" spans="1:13" x14ac:dyDescent="0.3">
      <c r="B5" s="1">
        <v>36.323586744639378</v>
      </c>
      <c r="D5" s="5" t="s">
        <v>7</v>
      </c>
      <c r="E5" s="16">
        <v>14</v>
      </c>
      <c r="H5" s="5" t="s">
        <v>7</v>
      </c>
      <c r="I5" s="1">
        <v>38.214285714285715</v>
      </c>
      <c r="L5" s="5" t="s">
        <v>7</v>
      </c>
      <c r="M5" s="1">
        <v>3.5</v>
      </c>
    </row>
    <row r="6" spans="1:13" x14ac:dyDescent="0.3">
      <c r="D6" s="5" t="s">
        <v>8</v>
      </c>
      <c r="E6" s="16">
        <v>13</v>
      </c>
      <c r="H6" s="5" t="s">
        <v>8</v>
      </c>
      <c r="I6" s="1">
        <v>40.92307692307692</v>
      </c>
      <c r="L6" s="5" t="s">
        <v>8</v>
      </c>
      <c r="M6" s="1">
        <v>4.5</v>
      </c>
    </row>
    <row r="7" spans="1:13" x14ac:dyDescent="0.3">
      <c r="A7" t="s">
        <v>2</v>
      </c>
      <c r="D7" s="5" t="s">
        <v>9</v>
      </c>
      <c r="E7" s="16">
        <v>22</v>
      </c>
      <c r="H7" s="5" t="s">
        <v>9</v>
      </c>
      <c r="I7" s="1">
        <v>34.5</v>
      </c>
      <c r="L7" s="5" t="s">
        <v>9</v>
      </c>
      <c r="M7" s="1">
        <v>4.8</v>
      </c>
    </row>
    <row r="8" spans="1:13" x14ac:dyDescent="0.3">
      <c r="A8" s="1">
        <v>4.9591836734693882</v>
      </c>
      <c r="D8" s="5" t="s">
        <v>10</v>
      </c>
      <c r="E8" s="16">
        <v>19</v>
      </c>
      <c r="H8" s="5" t="s">
        <v>10</v>
      </c>
      <c r="I8" s="1">
        <v>30.684210526315791</v>
      </c>
      <c r="L8" s="5" t="s">
        <v>10</v>
      </c>
      <c r="M8" s="1">
        <v>7.75</v>
      </c>
    </row>
    <row r="9" spans="1:13" x14ac:dyDescent="0.3">
      <c r="D9" s="5" t="s">
        <v>11</v>
      </c>
      <c r="E9" s="16">
        <v>15</v>
      </c>
      <c r="H9" s="5" t="s">
        <v>11</v>
      </c>
      <c r="I9" s="1">
        <v>37.666666666666664</v>
      </c>
      <c r="L9" s="5" t="s">
        <v>11</v>
      </c>
      <c r="M9" s="1">
        <v>6.2</v>
      </c>
    </row>
    <row r="10" spans="1:13" x14ac:dyDescent="0.3">
      <c r="D10" s="5" t="s">
        <v>12</v>
      </c>
      <c r="E10" s="16">
        <v>12</v>
      </c>
      <c r="H10" s="5" t="s">
        <v>12</v>
      </c>
      <c r="I10" s="1">
        <v>36.083333333333336</v>
      </c>
      <c r="L10" s="5" t="s">
        <v>12</v>
      </c>
      <c r="M10" s="1">
        <v>3.75</v>
      </c>
    </row>
    <row r="11" spans="1:13" x14ac:dyDescent="0.3">
      <c r="D11" s="5" t="s">
        <v>13</v>
      </c>
      <c r="E11" s="16">
        <v>21</v>
      </c>
      <c r="H11" s="5" t="s">
        <v>13</v>
      </c>
      <c r="I11" s="1">
        <v>43.523809523809526</v>
      </c>
      <c r="L11" s="5" t="s">
        <v>13</v>
      </c>
      <c r="M11" s="1">
        <v>6.5</v>
      </c>
    </row>
    <row r="12" spans="1:13" x14ac:dyDescent="0.3">
      <c r="D12" s="5" t="s">
        <v>14</v>
      </c>
      <c r="E12" s="16">
        <v>12</v>
      </c>
      <c r="H12" s="5" t="s">
        <v>14</v>
      </c>
      <c r="I12" s="1">
        <v>29.5</v>
      </c>
      <c r="L12" s="5" t="s">
        <v>14</v>
      </c>
      <c r="M12" s="1">
        <v>3</v>
      </c>
    </row>
    <row r="13" spans="1:13" x14ac:dyDescent="0.3">
      <c r="D13" s="5" t="s">
        <v>15</v>
      </c>
      <c r="E13" s="16">
        <v>13</v>
      </c>
      <c r="H13" s="5" t="s">
        <v>15</v>
      </c>
      <c r="I13" s="1">
        <v>38.07692307692308</v>
      </c>
      <c r="L13" s="5" t="s">
        <v>15</v>
      </c>
      <c r="M13" s="1">
        <v>4.5</v>
      </c>
    </row>
    <row r="14" spans="1:13" x14ac:dyDescent="0.3">
      <c r="D14" s="5" t="s">
        <v>16</v>
      </c>
      <c r="E14" s="16">
        <v>13</v>
      </c>
      <c r="H14" s="5" t="s">
        <v>16</v>
      </c>
      <c r="I14" s="1">
        <v>35.846153846153847</v>
      </c>
      <c r="L14" s="5" t="s">
        <v>16</v>
      </c>
      <c r="M14" s="1">
        <v>6</v>
      </c>
    </row>
    <row r="15" spans="1:13" x14ac:dyDescent="0.3">
      <c r="D15" s="5" t="s">
        <v>17</v>
      </c>
      <c r="E15" s="16">
        <v>16</v>
      </c>
      <c r="H15" s="5" t="s">
        <v>17</v>
      </c>
      <c r="I15" s="1">
        <v>32.625</v>
      </c>
      <c r="L15" s="5" t="s">
        <v>17</v>
      </c>
      <c r="M15" s="1">
        <v>5.2</v>
      </c>
    </row>
    <row r="16" spans="1:13" x14ac:dyDescent="0.3">
      <c r="D16" s="5" t="s">
        <v>18</v>
      </c>
      <c r="E16" s="16">
        <v>20</v>
      </c>
      <c r="H16" s="5" t="s">
        <v>18</v>
      </c>
      <c r="I16" s="1">
        <v>39.200000000000003</v>
      </c>
      <c r="L16" s="5" t="s">
        <v>18</v>
      </c>
      <c r="M16" s="1">
        <v>4.4000000000000004</v>
      </c>
    </row>
    <row r="17" spans="4:13" x14ac:dyDescent="0.3">
      <c r="D17" s="5" t="s">
        <v>19</v>
      </c>
      <c r="E17" s="16">
        <v>25</v>
      </c>
      <c r="H17" s="5" t="s">
        <v>19</v>
      </c>
      <c r="I17" s="1">
        <v>35.28</v>
      </c>
      <c r="L17" s="5" t="s">
        <v>19</v>
      </c>
      <c r="M17" s="1">
        <v>3.4545454545454546</v>
      </c>
    </row>
    <row r="18" spans="4:13" x14ac:dyDescent="0.3">
      <c r="D18" s="5" t="s">
        <v>20</v>
      </c>
      <c r="E18" s="16">
        <v>20</v>
      </c>
      <c r="H18" s="5" t="s">
        <v>20</v>
      </c>
      <c r="I18" s="1">
        <v>32.549999999999997</v>
      </c>
      <c r="L18" s="5" t="s">
        <v>20</v>
      </c>
      <c r="M18" s="1">
        <v>4.4000000000000004</v>
      </c>
    </row>
    <row r="19" spans="4:13" x14ac:dyDescent="0.3">
      <c r="D19" s="5" t="s">
        <v>21</v>
      </c>
      <c r="E19" s="16">
        <v>14</v>
      </c>
      <c r="H19" s="5" t="s">
        <v>21</v>
      </c>
      <c r="I19" s="1">
        <v>35.642857142857146</v>
      </c>
      <c r="L19" s="5" t="s">
        <v>21</v>
      </c>
      <c r="M19" s="1">
        <v>5.833333333333333</v>
      </c>
    </row>
    <row r="20" spans="4:13" x14ac:dyDescent="0.3">
      <c r="D20" s="5" t="s">
        <v>22</v>
      </c>
      <c r="E20" s="16">
        <v>17</v>
      </c>
      <c r="H20" s="5" t="s">
        <v>22</v>
      </c>
      <c r="I20" s="1">
        <v>38.764705882352942</v>
      </c>
      <c r="L20" s="5" t="s">
        <v>22</v>
      </c>
      <c r="M20" s="1">
        <v>4.4444444444444446</v>
      </c>
    </row>
    <row r="21" spans="4:13" x14ac:dyDescent="0.3">
      <c r="D21" s="5" t="s">
        <v>23</v>
      </c>
      <c r="E21" s="16">
        <v>20</v>
      </c>
      <c r="H21" s="5" t="s">
        <v>23</v>
      </c>
      <c r="I21" s="1">
        <v>39.9</v>
      </c>
      <c r="L21" s="5" t="s">
        <v>23</v>
      </c>
      <c r="M21" s="1">
        <v>5.333333333333333</v>
      </c>
    </row>
    <row r="22" spans="4:13" x14ac:dyDescent="0.3">
      <c r="D22" s="5" t="s">
        <v>24</v>
      </c>
      <c r="E22" s="16">
        <v>10</v>
      </c>
      <c r="H22" s="5" t="s">
        <v>24</v>
      </c>
      <c r="I22" s="1">
        <v>41.6</v>
      </c>
      <c r="L22" s="5" t="s">
        <v>24</v>
      </c>
      <c r="M22" s="1">
        <v>5.333333333333333</v>
      </c>
    </row>
    <row r="23" spans="4:13" x14ac:dyDescent="0.3">
      <c r="D23" s="5" t="s">
        <v>25</v>
      </c>
      <c r="E23" s="16">
        <v>17</v>
      </c>
      <c r="H23" s="5" t="s">
        <v>25</v>
      </c>
      <c r="I23" s="1">
        <v>39.470588235294116</v>
      </c>
      <c r="L23" s="5" t="s">
        <v>25</v>
      </c>
      <c r="M23" s="1">
        <v>5.5714285714285712</v>
      </c>
    </row>
    <row r="24" spans="4:13" x14ac:dyDescent="0.3">
      <c r="D24" s="5" t="s">
        <v>26</v>
      </c>
      <c r="E24" s="16">
        <v>15</v>
      </c>
      <c r="H24" s="5" t="s">
        <v>26</v>
      </c>
      <c r="I24" s="1">
        <v>27.733333333333334</v>
      </c>
      <c r="L24" s="5" t="s">
        <v>26</v>
      </c>
      <c r="M24" s="1">
        <v>5</v>
      </c>
    </row>
    <row r="25" spans="4:13" x14ac:dyDescent="0.3">
      <c r="D25" s="5" t="s">
        <v>27</v>
      </c>
      <c r="E25" s="16">
        <v>16</v>
      </c>
      <c r="H25" s="5" t="s">
        <v>27</v>
      </c>
      <c r="I25" s="1">
        <v>36.875</v>
      </c>
      <c r="L25" s="5" t="s">
        <v>27</v>
      </c>
      <c r="M25" s="1">
        <v>6.4</v>
      </c>
    </row>
    <row r="26" spans="4:13" x14ac:dyDescent="0.3">
      <c r="D26" s="5" t="s">
        <v>28</v>
      </c>
      <c r="E26" s="16">
        <v>18</v>
      </c>
      <c r="H26" s="5" t="s">
        <v>28</v>
      </c>
      <c r="I26" s="1">
        <v>40.333333333333336</v>
      </c>
      <c r="L26" s="5" t="s">
        <v>28</v>
      </c>
      <c r="M26" s="1">
        <v>5.333333333333333</v>
      </c>
    </row>
    <row r="27" spans="4:13" x14ac:dyDescent="0.3">
      <c r="D27" s="5" t="s">
        <v>29</v>
      </c>
      <c r="E27" s="16">
        <v>16</v>
      </c>
      <c r="H27" s="5" t="s">
        <v>29</v>
      </c>
      <c r="I27" s="1">
        <v>36.5</v>
      </c>
      <c r="L27" s="5" t="s">
        <v>29</v>
      </c>
      <c r="M27" s="1">
        <v>3.75</v>
      </c>
    </row>
    <row r="28" spans="4:13" x14ac:dyDescent="0.3">
      <c r="D28" s="5" t="s">
        <v>30</v>
      </c>
      <c r="E28" s="16">
        <v>15</v>
      </c>
      <c r="H28" s="5" t="s">
        <v>30</v>
      </c>
      <c r="I28" s="1">
        <v>32.866666666666667</v>
      </c>
      <c r="L28" s="5" t="s">
        <v>30</v>
      </c>
      <c r="M28" s="1">
        <v>6.333333333333333</v>
      </c>
    </row>
    <row r="29" spans="4:13" x14ac:dyDescent="0.3">
      <c r="D29" s="5" t="s">
        <v>31</v>
      </c>
      <c r="E29" s="16">
        <v>14</v>
      </c>
      <c r="H29" s="5" t="s">
        <v>31</v>
      </c>
      <c r="I29" s="1">
        <v>36.642857142857146</v>
      </c>
      <c r="L29" s="5" t="s">
        <v>31</v>
      </c>
      <c r="M29" s="1">
        <v>10</v>
      </c>
    </row>
    <row r="30" spans="4:13" x14ac:dyDescent="0.3">
      <c r="D30" s="5" t="s">
        <v>32</v>
      </c>
      <c r="E30" s="16">
        <v>16</v>
      </c>
      <c r="H30" s="5" t="s">
        <v>32</v>
      </c>
      <c r="I30" s="1">
        <v>36.5625</v>
      </c>
      <c r="L30" s="5" t="s">
        <v>32</v>
      </c>
      <c r="M30" s="1">
        <v>5</v>
      </c>
    </row>
    <row r="31" spans="4:13" x14ac:dyDescent="0.3">
      <c r="D31" s="5" t="s">
        <v>33</v>
      </c>
      <c r="E31" s="16">
        <v>20</v>
      </c>
      <c r="H31" s="5" t="s">
        <v>33</v>
      </c>
      <c r="I31" s="1">
        <v>32.15</v>
      </c>
      <c r="L31" s="5" t="s">
        <v>33</v>
      </c>
      <c r="M31" s="1">
        <v>5.333333333333333</v>
      </c>
    </row>
    <row r="32" spans="4:13" x14ac:dyDescent="0.3">
      <c r="D32" s="5" t="s">
        <v>34</v>
      </c>
      <c r="E32" s="16">
        <v>19</v>
      </c>
      <c r="H32" s="5" t="s">
        <v>34</v>
      </c>
      <c r="I32" s="1">
        <v>38.368421052631582</v>
      </c>
      <c r="L32" s="5" t="s">
        <v>34</v>
      </c>
      <c r="M32" s="1">
        <v>4.8</v>
      </c>
    </row>
    <row r="33" spans="1:13" x14ac:dyDescent="0.3">
      <c r="D33" s="5" t="s">
        <v>35</v>
      </c>
      <c r="E33" s="16">
        <v>14</v>
      </c>
      <c r="H33" s="5" t="s">
        <v>35</v>
      </c>
      <c r="I33" s="1">
        <v>33.071428571428569</v>
      </c>
      <c r="L33" s="5" t="s">
        <v>35</v>
      </c>
      <c r="M33" s="1">
        <v>5</v>
      </c>
    </row>
    <row r="34" spans="1:13" x14ac:dyDescent="0.3">
      <c r="D34" s="5" t="s">
        <v>36</v>
      </c>
      <c r="E34" s="16">
        <v>18</v>
      </c>
      <c r="H34" s="5" t="s">
        <v>36</v>
      </c>
      <c r="I34" s="1">
        <v>36.444444444444443</v>
      </c>
      <c r="L34" s="5" t="s">
        <v>36</v>
      </c>
      <c r="M34" s="1">
        <v>1.4</v>
      </c>
    </row>
    <row r="35" spans="1:13" x14ac:dyDescent="0.3">
      <c r="D35" s="5" t="s">
        <v>4</v>
      </c>
      <c r="E35" s="16">
        <v>513</v>
      </c>
      <c r="H35" s="5" t="s">
        <v>4</v>
      </c>
      <c r="I35" s="1">
        <v>36.323586744639378</v>
      </c>
      <c r="L35" s="5" t="s">
        <v>4</v>
      </c>
      <c r="M35" s="1">
        <v>4.9591836734693882</v>
      </c>
    </row>
    <row r="37" spans="1:13" x14ac:dyDescent="0.3">
      <c r="A37" s="4" t="s">
        <v>3</v>
      </c>
      <c r="B37" t="s">
        <v>44</v>
      </c>
      <c r="C37" t="s">
        <v>45</v>
      </c>
    </row>
    <row r="38" spans="1:13" x14ac:dyDescent="0.3">
      <c r="A38" s="5" t="s">
        <v>41</v>
      </c>
      <c r="B38" s="1">
        <v>269</v>
      </c>
      <c r="C38" s="7">
        <v>0.52436647173489281</v>
      </c>
    </row>
    <row r="39" spans="1:13" x14ac:dyDescent="0.3">
      <c r="A39" s="5" t="s">
        <v>42</v>
      </c>
      <c r="B39" s="1">
        <v>244</v>
      </c>
      <c r="C39" s="7">
        <v>0.47563352826510719</v>
      </c>
    </row>
    <row r="40" spans="1:13" x14ac:dyDescent="0.3">
      <c r="A40" s="5" t="s">
        <v>4</v>
      </c>
      <c r="B40" s="1">
        <v>513</v>
      </c>
      <c r="C40" s="7">
        <v>1</v>
      </c>
    </row>
    <row r="43" spans="1:13" x14ac:dyDescent="0.3">
      <c r="A43" s="8" t="s">
        <v>46</v>
      </c>
      <c r="B43" s="8" t="s">
        <v>47</v>
      </c>
      <c r="C43" s="8" t="s">
        <v>48</v>
      </c>
      <c r="D43" s="9"/>
    </row>
    <row r="44" spans="1:13" ht="24" customHeight="1" x14ac:dyDescent="0.3">
      <c r="A44" s="11" t="str">
        <f>A39</f>
        <v>Not Admitted</v>
      </c>
      <c r="B44" s="11">
        <f t="shared" ref="B44:C44" si="0">B39</f>
        <v>244</v>
      </c>
      <c r="C44" s="15">
        <f t="shared" si="0"/>
        <v>0.47563352826510719</v>
      </c>
      <c r="D44" s="10"/>
      <c r="E44" s="6"/>
    </row>
    <row r="45" spans="1:13" ht="27" customHeight="1" x14ac:dyDescent="0.3">
      <c r="A45" s="11" t="str">
        <f>A38</f>
        <v>Admitted</v>
      </c>
      <c r="B45" s="11">
        <f t="shared" ref="B45:C45" si="1">B38</f>
        <v>269</v>
      </c>
      <c r="C45" s="15">
        <f t="shared" si="1"/>
        <v>0.52436647173489281</v>
      </c>
      <c r="D45" s="10"/>
      <c r="E45" s="6"/>
    </row>
    <row r="47" spans="1:13" x14ac:dyDescent="0.3">
      <c r="A47" t="s">
        <v>58</v>
      </c>
      <c r="D47" t="s">
        <v>62</v>
      </c>
    </row>
    <row r="48" spans="1:13" x14ac:dyDescent="0.3">
      <c r="A48" s="4" t="s">
        <v>3</v>
      </c>
      <c r="B48" t="s">
        <v>57</v>
      </c>
      <c r="D48" s="4" t="s">
        <v>3</v>
      </c>
      <c r="E48" t="s">
        <v>61</v>
      </c>
    </row>
    <row r="49" spans="1:8" x14ac:dyDescent="0.3">
      <c r="A49" s="5" t="s">
        <v>49</v>
      </c>
      <c r="B49" s="17">
        <v>69</v>
      </c>
      <c r="D49" s="5" t="s">
        <v>59</v>
      </c>
      <c r="E49" s="17">
        <v>316</v>
      </c>
    </row>
    <row r="50" spans="1:8" x14ac:dyDescent="0.3">
      <c r="A50" s="5" t="s">
        <v>50</v>
      </c>
      <c r="B50" s="17">
        <v>76</v>
      </c>
      <c r="D50" s="5" t="s">
        <v>60</v>
      </c>
      <c r="E50" s="17">
        <v>197</v>
      </c>
    </row>
    <row r="51" spans="1:8" x14ac:dyDescent="0.3">
      <c r="A51" s="5" t="s">
        <v>51</v>
      </c>
      <c r="B51" s="17">
        <v>64</v>
      </c>
      <c r="D51" s="5" t="s">
        <v>4</v>
      </c>
      <c r="E51" s="1">
        <v>513</v>
      </c>
    </row>
    <row r="52" spans="1:8" x14ac:dyDescent="0.3">
      <c r="A52" s="5" t="s">
        <v>52</v>
      </c>
      <c r="B52" s="17">
        <v>59</v>
      </c>
    </row>
    <row r="53" spans="1:8" x14ac:dyDescent="0.3">
      <c r="A53" s="5" t="s">
        <v>53</v>
      </c>
      <c r="B53" s="17">
        <v>58</v>
      </c>
      <c r="D53" s="5" t="s">
        <v>66</v>
      </c>
      <c r="G53" t="s">
        <v>76</v>
      </c>
    </row>
    <row r="54" spans="1:8" x14ac:dyDescent="0.3">
      <c r="A54" s="5" t="s">
        <v>54</v>
      </c>
      <c r="B54" s="17">
        <v>66</v>
      </c>
      <c r="D54" s="4" t="s">
        <v>3</v>
      </c>
      <c r="E54" t="s">
        <v>65</v>
      </c>
      <c r="G54" s="4" t="s">
        <v>3</v>
      </c>
      <c r="H54" t="s">
        <v>75</v>
      </c>
    </row>
    <row r="55" spans="1:8" x14ac:dyDescent="0.3">
      <c r="A55" s="5" t="s">
        <v>55</v>
      </c>
      <c r="B55" s="17">
        <v>67</v>
      </c>
      <c r="D55" s="5" t="s">
        <v>63</v>
      </c>
      <c r="E55" s="1">
        <v>241</v>
      </c>
      <c r="G55" s="5" t="s">
        <v>68</v>
      </c>
      <c r="H55" s="17">
        <v>4</v>
      </c>
    </row>
    <row r="56" spans="1:8" x14ac:dyDescent="0.3">
      <c r="A56" s="5" t="s">
        <v>56</v>
      </c>
      <c r="B56" s="17">
        <v>54</v>
      </c>
      <c r="D56" s="5" t="s">
        <v>64</v>
      </c>
      <c r="E56" s="1">
        <v>272</v>
      </c>
      <c r="G56" s="5" t="s">
        <v>74</v>
      </c>
      <c r="H56" s="17">
        <v>5</v>
      </c>
    </row>
    <row r="57" spans="1:8" x14ac:dyDescent="0.3">
      <c r="A57" s="5" t="s">
        <v>4</v>
      </c>
      <c r="B57" s="1">
        <v>513</v>
      </c>
      <c r="D57" s="5" t="s">
        <v>4</v>
      </c>
      <c r="E57" s="1">
        <v>513</v>
      </c>
      <c r="G57" s="5" t="s">
        <v>70</v>
      </c>
      <c r="H57" s="17">
        <v>9</v>
      </c>
    </row>
    <row r="58" spans="1:8" x14ac:dyDescent="0.3">
      <c r="G58" s="5" t="s">
        <v>73</v>
      </c>
      <c r="H58" s="17">
        <v>14</v>
      </c>
    </row>
    <row r="59" spans="1:8" x14ac:dyDescent="0.3">
      <c r="A59" s="4" t="s">
        <v>3</v>
      </c>
      <c r="G59" s="5" t="s">
        <v>67</v>
      </c>
      <c r="H59" s="17">
        <v>14</v>
      </c>
    </row>
    <row r="60" spans="1:8" x14ac:dyDescent="0.3">
      <c r="A60" s="5" t="s">
        <v>77</v>
      </c>
      <c r="G60" s="5" t="s">
        <v>72</v>
      </c>
      <c r="H60" s="17">
        <v>65</v>
      </c>
    </row>
    <row r="61" spans="1:8" x14ac:dyDescent="0.3">
      <c r="A61" s="5" t="s">
        <v>4</v>
      </c>
      <c r="G61" s="5" t="s">
        <v>69</v>
      </c>
      <c r="H61" s="17">
        <v>103</v>
      </c>
    </row>
    <row r="62" spans="1:8" x14ac:dyDescent="0.3">
      <c r="G62" s="5" t="s">
        <v>71</v>
      </c>
      <c r="H62" s="17">
        <v>299</v>
      </c>
    </row>
    <row r="63" spans="1:8" x14ac:dyDescent="0.3">
      <c r="G63" s="5" t="s">
        <v>4</v>
      </c>
      <c r="H63" s="1">
        <v>513</v>
      </c>
    </row>
  </sheetData>
  <pageMargins left="0.7" right="0.7" top="0.75" bottom="0.75" header="0.3" footer="0.3"/>
  <pageSetup orientation="portrait" r:id="rId13"/>
  <drawing r:id="rId1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BDB46-338A-4EB0-85B6-0F720B669FE9}">
  <dimension ref="A1:X54"/>
  <sheetViews>
    <sheetView tabSelected="1" workbookViewId="0">
      <selection activeCell="N32" sqref="N32"/>
    </sheetView>
  </sheetViews>
  <sheetFormatPr defaultRowHeight="14.4" x14ac:dyDescent="0.3"/>
  <sheetData>
    <row r="1" spans="1:24" x14ac:dyDescent="0.3">
      <c r="A1" s="3"/>
      <c r="B1" s="3"/>
      <c r="C1" s="3"/>
      <c r="D1" s="3"/>
      <c r="E1" s="3"/>
      <c r="F1" s="3"/>
      <c r="G1" s="3"/>
      <c r="H1" s="3"/>
      <c r="I1" s="3"/>
      <c r="J1" s="3"/>
      <c r="K1" s="3"/>
      <c r="L1" s="3"/>
      <c r="M1" s="3"/>
      <c r="N1" s="3"/>
      <c r="O1" s="3"/>
      <c r="P1" s="3"/>
      <c r="Q1" s="3"/>
      <c r="R1" s="3"/>
      <c r="S1" s="3"/>
      <c r="T1" s="3"/>
      <c r="U1" s="3"/>
      <c r="V1" s="3"/>
      <c r="W1" s="3"/>
      <c r="X1" s="3"/>
    </row>
    <row r="2" spans="1:24" x14ac:dyDescent="0.3">
      <c r="A2" s="3"/>
      <c r="B2" s="3"/>
      <c r="C2" s="3"/>
      <c r="D2" s="3"/>
      <c r="E2" s="3"/>
      <c r="F2" s="3"/>
      <c r="G2" s="3"/>
      <c r="H2" s="3"/>
      <c r="I2" s="3"/>
      <c r="J2" s="3"/>
      <c r="K2" s="3"/>
      <c r="L2" s="3"/>
      <c r="M2" s="3"/>
      <c r="N2" s="3"/>
      <c r="O2" s="3"/>
      <c r="P2" s="3"/>
      <c r="Q2" s="3"/>
      <c r="R2" s="3"/>
      <c r="S2" s="3"/>
      <c r="T2" s="3"/>
      <c r="U2" s="3"/>
      <c r="V2" s="3"/>
      <c r="W2" s="3"/>
      <c r="X2" s="3"/>
    </row>
    <row r="3" spans="1:24" x14ac:dyDescent="0.3">
      <c r="A3" s="3"/>
      <c r="B3" s="3"/>
      <c r="C3" s="3"/>
      <c r="D3" s="3"/>
      <c r="E3" s="3"/>
      <c r="F3" s="3"/>
      <c r="G3" s="3"/>
      <c r="H3" s="3"/>
      <c r="I3" s="3"/>
      <c r="J3" s="3"/>
      <c r="K3" s="3"/>
      <c r="L3" s="3"/>
      <c r="M3" s="3"/>
      <c r="N3" s="3"/>
      <c r="O3" s="3"/>
      <c r="P3" s="3"/>
      <c r="Q3" s="3"/>
      <c r="R3" s="3"/>
      <c r="S3" s="3"/>
      <c r="T3" s="3"/>
      <c r="U3" s="3"/>
      <c r="V3" s="3"/>
      <c r="W3" s="3"/>
      <c r="X3" s="3"/>
    </row>
    <row r="4" spans="1:24" x14ac:dyDescent="0.3">
      <c r="A4" s="3"/>
      <c r="B4" s="3"/>
      <c r="C4" s="3"/>
      <c r="D4" s="3"/>
      <c r="E4" s="3"/>
      <c r="F4" s="3"/>
      <c r="G4" s="3"/>
      <c r="H4" s="3"/>
      <c r="I4" s="3"/>
      <c r="J4" s="3"/>
      <c r="K4" s="3"/>
      <c r="L4" s="3"/>
      <c r="M4" s="3"/>
      <c r="N4" s="3"/>
      <c r="O4" s="3"/>
      <c r="P4" s="3"/>
      <c r="Q4" s="3"/>
      <c r="R4" s="3"/>
      <c r="S4" s="3"/>
      <c r="T4" s="3"/>
      <c r="U4" s="3"/>
      <c r="V4" s="3"/>
      <c r="W4" s="3"/>
      <c r="X4" s="3"/>
    </row>
    <row r="5" spans="1:24" x14ac:dyDescent="0.3">
      <c r="A5" s="3"/>
      <c r="B5" s="3"/>
      <c r="C5" s="3"/>
      <c r="D5" s="3"/>
      <c r="E5" s="3"/>
      <c r="F5" s="3"/>
      <c r="G5" s="3"/>
      <c r="H5" s="3"/>
      <c r="I5" s="3"/>
      <c r="J5" s="3"/>
      <c r="K5" s="3"/>
      <c r="L5" s="3"/>
      <c r="M5" s="3"/>
      <c r="N5" s="3"/>
      <c r="O5" s="3"/>
      <c r="P5" s="3"/>
      <c r="Q5" s="3"/>
      <c r="R5" s="3"/>
      <c r="S5" s="3"/>
      <c r="T5" s="3"/>
      <c r="U5" s="3"/>
      <c r="V5" s="3"/>
      <c r="W5" s="3"/>
      <c r="X5" s="3"/>
    </row>
    <row r="6" spans="1:24" x14ac:dyDescent="0.3">
      <c r="A6" s="3"/>
      <c r="B6" s="3"/>
      <c r="C6" s="3"/>
      <c r="D6" s="3"/>
      <c r="E6" s="3"/>
      <c r="F6" s="3"/>
      <c r="G6" s="3"/>
      <c r="H6" s="3"/>
      <c r="I6" s="3"/>
      <c r="J6" s="3"/>
      <c r="K6" s="3"/>
      <c r="L6" s="3"/>
      <c r="M6" s="3"/>
      <c r="N6" s="3"/>
      <c r="O6" s="3"/>
      <c r="P6" s="3"/>
      <c r="Q6" s="3"/>
      <c r="R6" s="3"/>
      <c r="S6" s="3"/>
      <c r="T6" s="3"/>
      <c r="U6" s="3"/>
      <c r="V6" s="3"/>
      <c r="W6" s="3"/>
      <c r="X6" s="3"/>
    </row>
    <row r="7" spans="1:24" x14ac:dyDescent="0.3">
      <c r="A7" s="3"/>
      <c r="B7" s="3"/>
      <c r="C7" s="3"/>
      <c r="D7" s="3"/>
      <c r="E7" s="3"/>
      <c r="F7" s="3"/>
      <c r="G7" s="3"/>
      <c r="H7" s="3"/>
      <c r="I7" s="3"/>
      <c r="J7" s="3"/>
      <c r="K7" s="3"/>
      <c r="L7" s="3"/>
      <c r="M7" s="3"/>
      <c r="N7" s="3"/>
      <c r="O7" s="3"/>
      <c r="P7" s="3"/>
      <c r="Q7" s="3"/>
      <c r="R7" s="3"/>
      <c r="S7" s="3"/>
      <c r="T7" s="3"/>
      <c r="U7" s="3"/>
      <c r="V7" s="3"/>
      <c r="W7" s="3"/>
      <c r="X7" s="3"/>
    </row>
    <row r="8" spans="1:24" x14ac:dyDescent="0.3">
      <c r="A8" s="3"/>
      <c r="B8" s="3"/>
      <c r="C8" s="3"/>
      <c r="D8" s="3"/>
      <c r="E8" s="3"/>
      <c r="F8" s="3"/>
      <c r="G8" s="3"/>
      <c r="H8" s="3"/>
      <c r="I8" s="3"/>
      <c r="J8" s="3"/>
      <c r="K8" s="3"/>
      <c r="L8" s="3"/>
      <c r="M8" s="3"/>
      <c r="N8" s="3"/>
      <c r="O8" s="3"/>
      <c r="P8" s="3"/>
      <c r="Q8" s="3"/>
      <c r="R8" s="3"/>
      <c r="S8" s="3"/>
      <c r="T8" s="3"/>
      <c r="U8" s="3"/>
      <c r="V8" s="3"/>
      <c r="W8" s="3"/>
      <c r="X8" s="3"/>
    </row>
    <row r="9" spans="1:24" x14ac:dyDescent="0.3">
      <c r="A9" s="3"/>
      <c r="B9" s="3"/>
      <c r="C9" s="3"/>
      <c r="D9" s="3"/>
      <c r="E9" s="3"/>
      <c r="F9" s="3"/>
      <c r="G9" s="3"/>
      <c r="H9" s="3"/>
      <c r="I9" s="3"/>
      <c r="J9" s="3"/>
      <c r="K9" s="3"/>
      <c r="L9" s="3"/>
      <c r="M9" s="3"/>
      <c r="N9" s="3"/>
      <c r="O9" s="3"/>
      <c r="P9" s="3"/>
      <c r="Q9" s="3"/>
      <c r="R9" s="3"/>
      <c r="S9" s="3"/>
      <c r="T9" s="3"/>
      <c r="U9" s="3"/>
      <c r="V9" s="3"/>
      <c r="W9" s="3"/>
      <c r="X9" s="3"/>
    </row>
    <row r="10" spans="1:24" x14ac:dyDescent="0.3">
      <c r="A10" s="3"/>
      <c r="B10" s="3"/>
      <c r="C10" s="3"/>
      <c r="D10" s="3"/>
      <c r="E10" s="3"/>
      <c r="F10" s="3"/>
      <c r="G10" s="3"/>
      <c r="H10" s="3"/>
      <c r="I10" s="3"/>
      <c r="J10" s="3"/>
      <c r="K10" s="3"/>
      <c r="L10" s="3"/>
      <c r="M10" s="3"/>
      <c r="N10" s="3"/>
      <c r="O10" s="3"/>
      <c r="P10" s="3"/>
      <c r="Q10" s="3"/>
      <c r="R10" s="3"/>
      <c r="S10" s="3"/>
      <c r="T10" s="3"/>
      <c r="U10" s="3"/>
      <c r="V10" s="3"/>
      <c r="W10" s="3"/>
      <c r="X10" s="3"/>
    </row>
    <row r="11" spans="1:24" x14ac:dyDescent="0.3">
      <c r="A11" s="3"/>
      <c r="B11" s="3"/>
      <c r="C11" s="3"/>
      <c r="D11" s="3"/>
      <c r="E11" s="3"/>
      <c r="F11" s="3"/>
      <c r="G11" s="3"/>
      <c r="H11" s="3"/>
      <c r="I11" s="3"/>
      <c r="J11" s="3"/>
      <c r="K11" s="3"/>
      <c r="L11" s="3"/>
      <c r="M11" s="3"/>
      <c r="N11" s="3"/>
      <c r="O11" s="3"/>
      <c r="P11" s="3"/>
      <c r="Q11" s="3"/>
      <c r="R11" s="3"/>
      <c r="S11" s="3"/>
      <c r="T11" s="3"/>
      <c r="U11" s="3"/>
      <c r="V11" s="3"/>
      <c r="W11" s="3"/>
      <c r="X11" s="3"/>
    </row>
    <row r="12" spans="1:24" x14ac:dyDescent="0.3">
      <c r="A12" s="3"/>
      <c r="B12" s="3"/>
      <c r="C12" s="3"/>
      <c r="D12" s="3"/>
      <c r="E12" s="3"/>
      <c r="F12" s="3"/>
      <c r="G12" s="3"/>
      <c r="H12" s="3"/>
      <c r="I12" s="3"/>
      <c r="J12" s="3"/>
      <c r="K12" s="3"/>
      <c r="L12" s="3"/>
      <c r="M12" s="3"/>
      <c r="N12" s="3"/>
      <c r="O12" s="3"/>
      <c r="P12" s="3"/>
      <c r="Q12" s="3"/>
      <c r="R12" s="3"/>
      <c r="S12" s="3"/>
      <c r="T12" s="3"/>
      <c r="U12" s="3"/>
      <c r="V12" s="3"/>
      <c r="W12" s="3"/>
      <c r="X12" s="3"/>
    </row>
    <row r="13" spans="1:24" x14ac:dyDescent="0.3">
      <c r="A13" s="3"/>
      <c r="B13" s="3"/>
      <c r="C13" s="3"/>
      <c r="D13" s="3"/>
      <c r="E13" s="3"/>
      <c r="F13" s="3"/>
      <c r="G13" s="3"/>
      <c r="H13" s="3"/>
      <c r="I13" s="3"/>
      <c r="J13" s="3"/>
      <c r="K13" s="3"/>
      <c r="L13" s="3"/>
      <c r="M13" s="3"/>
      <c r="N13" s="3"/>
      <c r="O13" s="3"/>
      <c r="P13" s="3"/>
      <c r="Q13" s="3"/>
      <c r="R13" s="3"/>
      <c r="S13" s="3"/>
      <c r="T13" s="3"/>
      <c r="U13" s="3"/>
      <c r="V13" s="3"/>
      <c r="W13" s="3"/>
      <c r="X13" s="3"/>
    </row>
    <row r="14" spans="1:24" x14ac:dyDescent="0.3">
      <c r="A14" s="3"/>
      <c r="B14" s="3"/>
      <c r="C14" s="3"/>
      <c r="D14" s="3"/>
      <c r="E14" s="3"/>
      <c r="F14" s="3"/>
      <c r="G14" s="3"/>
      <c r="H14" s="3"/>
      <c r="I14" s="3"/>
      <c r="J14" s="3"/>
      <c r="K14" s="3"/>
      <c r="L14" s="3"/>
      <c r="M14" s="3"/>
      <c r="N14" s="3"/>
      <c r="O14" s="3"/>
      <c r="P14" s="3"/>
      <c r="Q14" s="3"/>
      <c r="R14" s="3"/>
      <c r="S14" s="3"/>
      <c r="T14" s="3"/>
      <c r="U14" s="3"/>
      <c r="V14" s="3"/>
      <c r="W14" s="3"/>
      <c r="X14" s="3"/>
    </row>
    <row r="15" spans="1:24" x14ac:dyDescent="0.3">
      <c r="A15" s="3"/>
      <c r="B15" s="3"/>
      <c r="C15" s="3"/>
      <c r="D15" s="3"/>
      <c r="E15" s="3"/>
      <c r="F15" s="3"/>
      <c r="G15" s="3"/>
      <c r="H15" s="3"/>
      <c r="I15" s="3"/>
      <c r="J15" s="3"/>
      <c r="K15" s="3"/>
      <c r="L15" s="3"/>
      <c r="M15" s="3"/>
      <c r="N15" s="3"/>
      <c r="O15" s="3"/>
      <c r="P15" s="3"/>
      <c r="Q15" s="3"/>
      <c r="R15" s="3"/>
      <c r="S15" s="3"/>
      <c r="T15" s="3"/>
      <c r="U15" s="3"/>
      <c r="V15" s="3"/>
      <c r="W15" s="3"/>
      <c r="X15" s="3"/>
    </row>
    <row r="16" spans="1:24" x14ac:dyDescent="0.3">
      <c r="A16" s="3"/>
      <c r="B16" s="3"/>
      <c r="C16" s="3"/>
      <c r="D16" s="3"/>
      <c r="E16" s="3"/>
      <c r="F16" s="3"/>
      <c r="G16" s="3"/>
      <c r="H16" s="3"/>
      <c r="I16" s="3"/>
      <c r="J16" s="3"/>
      <c r="K16" s="3"/>
      <c r="L16" s="3"/>
      <c r="M16" s="3"/>
      <c r="N16" s="3"/>
      <c r="O16" s="3"/>
      <c r="P16" s="3"/>
      <c r="Q16" s="3"/>
      <c r="R16" s="3"/>
      <c r="S16" s="3"/>
      <c r="T16" s="3"/>
      <c r="U16" s="3"/>
      <c r="V16" s="3"/>
      <c r="W16" s="3"/>
      <c r="X16" s="3"/>
    </row>
    <row r="17" spans="1:24" x14ac:dyDescent="0.3">
      <c r="A17" s="3"/>
      <c r="B17" s="3"/>
      <c r="C17" s="3"/>
      <c r="D17" s="3"/>
      <c r="E17" s="3"/>
      <c r="F17" s="3"/>
      <c r="G17" s="3"/>
      <c r="H17" s="3"/>
      <c r="I17" s="3"/>
      <c r="J17" s="3"/>
      <c r="K17" s="3"/>
      <c r="L17" s="3"/>
      <c r="M17" s="3"/>
      <c r="N17" s="3"/>
      <c r="O17" s="3"/>
      <c r="P17" s="3"/>
      <c r="Q17" s="3"/>
      <c r="R17" s="3"/>
      <c r="S17" s="3"/>
      <c r="T17" s="3"/>
      <c r="U17" s="3"/>
      <c r="V17" s="3"/>
      <c r="W17" s="3"/>
      <c r="X17" s="3"/>
    </row>
    <row r="18" spans="1:24" x14ac:dyDescent="0.3">
      <c r="A18" s="3"/>
      <c r="B18" s="3"/>
      <c r="C18" s="3"/>
      <c r="D18" s="3"/>
      <c r="E18" s="3"/>
      <c r="F18" s="3"/>
      <c r="G18" s="3"/>
      <c r="H18" s="3"/>
      <c r="I18" s="3"/>
      <c r="J18" s="3"/>
      <c r="K18" s="3"/>
      <c r="L18" s="3"/>
      <c r="M18" s="3"/>
      <c r="N18" s="3"/>
      <c r="O18" s="3"/>
      <c r="P18" s="3"/>
      <c r="Q18" s="3"/>
      <c r="R18" s="3"/>
      <c r="S18" s="3"/>
      <c r="T18" s="3"/>
      <c r="U18" s="3"/>
      <c r="V18" s="3"/>
      <c r="W18" s="3"/>
      <c r="X18" s="3"/>
    </row>
    <row r="19" spans="1:24" x14ac:dyDescent="0.3">
      <c r="A19" s="3"/>
      <c r="B19" s="3"/>
      <c r="C19" s="3"/>
      <c r="D19" s="3"/>
      <c r="E19" s="3"/>
      <c r="F19" s="3"/>
      <c r="G19" s="3"/>
      <c r="H19" s="3"/>
      <c r="I19" s="3"/>
      <c r="J19" s="3"/>
      <c r="K19" s="3"/>
      <c r="L19" s="3"/>
      <c r="M19" s="3"/>
      <c r="N19" s="3"/>
      <c r="O19" s="3"/>
      <c r="P19" s="3"/>
      <c r="Q19" s="3"/>
      <c r="R19" s="3"/>
      <c r="S19" s="3"/>
      <c r="T19" s="3"/>
      <c r="U19" s="3"/>
      <c r="V19" s="3"/>
      <c r="W19" s="3"/>
      <c r="X19" s="3"/>
    </row>
    <row r="20" spans="1:24" x14ac:dyDescent="0.3">
      <c r="A20" s="3"/>
      <c r="B20" s="3"/>
      <c r="C20" s="3"/>
      <c r="D20" s="3"/>
      <c r="E20" s="3"/>
      <c r="F20" s="3"/>
      <c r="G20" s="3"/>
      <c r="H20" s="3"/>
      <c r="I20" s="3"/>
      <c r="J20" s="3"/>
      <c r="K20" s="3"/>
      <c r="L20" s="3"/>
      <c r="M20" s="3"/>
      <c r="N20" s="3"/>
      <c r="O20" s="3"/>
      <c r="P20" s="3"/>
      <c r="Q20" s="3"/>
      <c r="R20" s="3"/>
      <c r="S20" s="3"/>
      <c r="T20" s="3"/>
      <c r="U20" s="3"/>
      <c r="V20" s="3"/>
      <c r="W20" s="3"/>
      <c r="X20" s="3"/>
    </row>
    <row r="21" spans="1:24" x14ac:dyDescent="0.3">
      <c r="A21" s="3"/>
      <c r="B21" s="3"/>
      <c r="C21" s="3"/>
      <c r="D21" s="3"/>
      <c r="E21" s="3"/>
      <c r="F21" s="3"/>
      <c r="G21" s="3"/>
      <c r="H21" s="3"/>
      <c r="I21" s="3"/>
      <c r="J21" s="3"/>
      <c r="K21" s="3"/>
      <c r="L21" s="3"/>
      <c r="M21" s="3"/>
      <c r="N21" s="3"/>
      <c r="O21" s="3"/>
      <c r="P21" s="3"/>
      <c r="Q21" s="3"/>
      <c r="R21" s="3"/>
      <c r="S21" s="3"/>
      <c r="T21" s="3"/>
      <c r="U21" s="3"/>
      <c r="V21" s="3"/>
      <c r="W21" s="3"/>
      <c r="X21" s="3"/>
    </row>
    <row r="22" spans="1:24" x14ac:dyDescent="0.3">
      <c r="A22" s="3"/>
      <c r="B22" s="3"/>
      <c r="C22" s="3"/>
      <c r="D22" s="3"/>
      <c r="E22" s="3"/>
      <c r="F22" s="3"/>
      <c r="G22" s="3"/>
      <c r="H22" s="3"/>
      <c r="I22" s="3"/>
      <c r="J22" s="3"/>
      <c r="K22" s="3"/>
      <c r="L22" s="3"/>
      <c r="M22" s="3"/>
      <c r="N22" s="3"/>
      <c r="O22" s="3"/>
      <c r="P22" s="3"/>
      <c r="Q22" s="3"/>
      <c r="R22" s="3"/>
      <c r="S22" s="3"/>
      <c r="T22" s="3"/>
      <c r="U22" s="3"/>
      <c r="V22" s="3"/>
      <c r="W22" s="3"/>
      <c r="X22" s="3"/>
    </row>
    <row r="23" spans="1:24" x14ac:dyDescent="0.3">
      <c r="A23" s="3"/>
      <c r="B23" s="3"/>
      <c r="C23" s="3"/>
      <c r="D23" s="3"/>
      <c r="E23" s="3"/>
      <c r="F23" s="3"/>
      <c r="G23" s="3"/>
      <c r="H23" s="3"/>
      <c r="I23" s="3"/>
      <c r="J23" s="3"/>
      <c r="K23" s="3"/>
      <c r="L23" s="3"/>
      <c r="M23" s="3"/>
      <c r="N23" s="3"/>
      <c r="O23" s="3"/>
      <c r="P23" s="3"/>
      <c r="Q23" s="3"/>
      <c r="R23" s="3"/>
      <c r="S23" s="3"/>
      <c r="T23" s="3"/>
      <c r="U23" s="3"/>
      <c r="V23" s="3"/>
      <c r="W23" s="3"/>
      <c r="X23" s="3"/>
    </row>
    <row r="24" spans="1:24" x14ac:dyDescent="0.3">
      <c r="A24" s="3"/>
      <c r="B24" s="3"/>
      <c r="C24" s="3"/>
      <c r="D24" s="3"/>
      <c r="E24" s="3"/>
      <c r="F24" s="3"/>
      <c r="G24" s="3"/>
      <c r="H24" s="3"/>
      <c r="I24" s="3"/>
      <c r="J24" s="3"/>
      <c r="K24" s="3"/>
      <c r="L24" s="3"/>
      <c r="M24" s="3"/>
      <c r="N24" s="3"/>
      <c r="O24" s="3"/>
      <c r="P24" s="3"/>
      <c r="Q24" s="3"/>
      <c r="R24" s="3"/>
      <c r="S24" s="3"/>
      <c r="T24" s="3"/>
      <c r="U24" s="3"/>
      <c r="V24" s="3"/>
      <c r="W24" s="3"/>
      <c r="X24" s="3"/>
    </row>
    <row r="25" spans="1:24" x14ac:dyDescent="0.3">
      <c r="A25" s="3"/>
      <c r="B25" s="3"/>
      <c r="C25" s="3"/>
      <c r="D25" s="3"/>
      <c r="E25" s="3"/>
      <c r="F25" s="3"/>
      <c r="G25" s="3"/>
      <c r="H25" s="3"/>
      <c r="I25" s="3"/>
      <c r="J25" s="3"/>
      <c r="K25" s="3"/>
      <c r="L25" s="3"/>
      <c r="M25" s="3"/>
      <c r="N25" s="3"/>
      <c r="O25" s="3"/>
      <c r="P25" s="3"/>
      <c r="Q25" s="3"/>
      <c r="R25" s="3"/>
      <c r="S25" s="3"/>
      <c r="T25" s="3"/>
      <c r="U25" s="3"/>
      <c r="V25" s="3"/>
      <c r="W25" s="3"/>
      <c r="X25" s="3"/>
    </row>
    <row r="26" spans="1:24" x14ac:dyDescent="0.3">
      <c r="A26" s="3"/>
      <c r="B26" s="3"/>
      <c r="C26" s="3"/>
      <c r="D26" s="3"/>
      <c r="E26" s="3"/>
      <c r="F26" s="3"/>
      <c r="G26" s="3"/>
      <c r="H26" s="3"/>
      <c r="I26" s="3"/>
      <c r="J26" s="3"/>
      <c r="K26" s="3"/>
      <c r="L26" s="3"/>
      <c r="M26" s="3"/>
      <c r="N26" s="3"/>
      <c r="O26" s="3"/>
      <c r="P26" s="3"/>
      <c r="Q26" s="3"/>
      <c r="R26" s="3"/>
      <c r="S26" s="3"/>
      <c r="T26" s="3"/>
      <c r="U26" s="3"/>
      <c r="V26" s="3"/>
      <c r="W26" s="3"/>
      <c r="X26" s="3"/>
    </row>
    <row r="27" spans="1:24" x14ac:dyDescent="0.3">
      <c r="A27" s="3"/>
      <c r="B27" s="3"/>
      <c r="C27" s="3"/>
      <c r="D27" s="3"/>
      <c r="E27" s="3"/>
      <c r="F27" s="3"/>
      <c r="G27" s="3"/>
      <c r="H27" s="3"/>
      <c r="I27" s="3"/>
      <c r="J27" s="3"/>
      <c r="K27" s="3"/>
      <c r="L27" s="3"/>
      <c r="M27" s="3"/>
      <c r="N27" s="3"/>
      <c r="O27" s="3"/>
      <c r="P27" s="3"/>
      <c r="Q27" s="3"/>
      <c r="R27" s="3"/>
      <c r="S27" s="3"/>
      <c r="T27" s="3"/>
      <c r="U27" s="3"/>
      <c r="V27" s="3"/>
      <c r="W27" s="3"/>
      <c r="X27" s="3"/>
    </row>
    <row r="28" spans="1:24" x14ac:dyDescent="0.3">
      <c r="A28" s="3"/>
      <c r="B28" s="3"/>
      <c r="C28" s="3"/>
      <c r="D28" s="3"/>
      <c r="E28" s="3"/>
      <c r="F28" s="3"/>
      <c r="G28" s="3"/>
      <c r="H28" s="3"/>
      <c r="I28" s="3"/>
      <c r="J28" s="3"/>
      <c r="K28" s="3"/>
      <c r="L28" s="3"/>
      <c r="M28" s="3"/>
      <c r="N28" s="3"/>
      <c r="O28" s="3"/>
      <c r="P28" s="3"/>
      <c r="Q28" s="3"/>
      <c r="R28" s="3"/>
      <c r="S28" s="3"/>
      <c r="T28" s="3"/>
      <c r="U28" s="3"/>
      <c r="V28" s="3"/>
      <c r="W28" s="3"/>
      <c r="X28" s="3"/>
    </row>
    <row r="29" spans="1:24" x14ac:dyDescent="0.3">
      <c r="A29" s="3"/>
      <c r="B29" s="3"/>
      <c r="C29" s="3"/>
      <c r="D29" s="3"/>
      <c r="E29" s="3"/>
      <c r="F29" s="3"/>
      <c r="G29" s="3"/>
      <c r="H29" s="3"/>
      <c r="I29" s="3"/>
      <c r="J29" s="3"/>
      <c r="K29" s="3"/>
      <c r="L29" s="3"/>
      <c r="M29" s="3"/>
      <c r="N29" s="3"/>
      <c r="O29" s="3"/>
      <c r="P29" s="3"/>
      <c r="Q29" s="3"/>
      <c r="R29" s="3"/>
      <c r="S29" s="3"/>
      <c r="T29" s="3"/>
      <c r="U29" s="3"/>
      <c r="V29" s="3"/>
      <c r="W29" s="3"/>
      <c r="X29" s="3"/>
    </row>
    <row r="30" spans="1:24" x14ac:dyDescent="0.3">
      <c r="A30" s="3"/>
      <c r="B30" s="3"/>
      <c r="C30" s="3"/>
      <c r="D30" s="3"/>
      <c r="E30" s="3"/>
      <c r="F30" s="3"/>
      <c r="G30" s="3"/>
      <c r="H30" s="3"/>
      <c r="I30" s="3"/>
      <c r="J30" s="3"/>
      <c r="K30" s="3"/>
      <c r="L30" s="3"/>
      <c r="M30" s="3"/>
      <c r="N30" s="3"/>
      <c r="O30" s="3"/>
      <c r="P30" s="3"/>
      <c r="Q30" s="3"/>
      <c r="R30" s="3"/>
      <c r="S30" s="3"/>
      <c r="T30" s="3"/>
      <c r="U30" s="3"/>
      <c r="V30" s="3"/>
      <c r="W30" s="3"/>
      <c r="X30" s="3"/>
    </row>
    <row r="31" spans="1:24" x14ac:dyDescent="0.3">
      <c r="A31" s="3"/>
      <c r="B31" s="3"/>
      <c r="C31" s="3"/>
      <c r="D31" s="3"/>
      <c r="E31" s="3"/>
      <c r="F31" s="3"/>
      <c r="G31" s="3"/>
      <c r="H31" s="3"/>
      <c r="I31" s="3"/>
      <c r="J31" s="3"/>
      <c r="K31" s="3"/>
      <c r="L31" s="3"/>
      <c r="M31" s="3"/>
      <c r="N31" s="3"/>
      <c r="O31" s="3"/>
      <c r="P31" s="3"/>
      <c r="Q31" s="3"/>
      <c r="R31" s="3"/>
      <c r="S31" s="3"/>
      <c r="T31" s="3"/>
      <c r="U31" s="3"/>
      <c r="V31" s="3"/>
      <c r="W31" s="3"/>
      <c r="X31" s="3"/>
    </row>
    <row r="32" spans="1:24" x14ac:dyDescent="0.3">
      <c r="A32" s="3"/>
      <c r="B32" s="3"/>
      <c r="C32" s="3"/>
      <c r="D32" s="3"/>
      <c r="E32" s="3"/>
      <c r="F32" s="3"/>
      <c r="G32" s="3"/>
      <c r="H32" s="3"/>
      <c r="I32" s="3"/>
      <c r="J32" s="3"/>
      <c r="K32" s="3"/>
      <c r="L32" s="3"/>
      <c r="M32" s="3"/>
      <c r="N32" s="3"/>
      <c r="O32" s="3"/>
      <c r="P32" s="3"/>
      <c r="Q32" s="3"/>
      <c r="R32" s="3"/>
      <c r="S32" s="3"/>
      <c r="T32" s="3"/>
      <c r="U32" s="3"/>
      <c r="V32" s="3"/>
      <c r="W32" s="3"/>
      <c r="X32" s="3"/>
    </row>
    <row r="33" spans="1:24" x14ac:dyDescent="0.3">
      <c r="A33" s="3"/>
      <c r="B33" s="3"/>
      <c r="C33" s="3"/>
      <c r="D33" s="3"/>
      <c r="E33" s="3"/>
      <c r="F33" s="3"/>
      <c r="G33" s="3"/>
      <c r="H33" s="3"/>
      <c r="I33" s="3"/>
      <c r="J33" s="3"/>
      <c r="K33" s="3"/>
      <c r="L33" s="3"/>
      <c r="M33" s="3"/>
      <c r="N33" s="3"/>
      <c r="O33" s="3"/>
      <c r="P33" s="3"/>
      <c r="Q33" s="3"/>
      <c r="R33" s="3"/>
      <c r="S33" s="3"/>
      <c r="T33" s="3"/>
      <c r="U33" s="3"/>
      <c r="V33" s="3"/>
      <c r="W33" s="3"/>
      <c r="X33" s="3"/>
    </row>
    <row r="34" spans="1:24" x14ac:dyDescent="0.3">
      <c r="A34" s="3"/>
      <c r="B34" s="3"/>
      <c r="C34" s="3"/>
      <c r="D34" s="3"/>
      <c r="E34" s="3"/>
      <c r="F34" s="3"/>
      <c r="G34" s="3"/>
      <c r="H34" s="3"/>
      <c r="I34" s="3"/>
      <c r="J34" s="3"/>
      <c r="K34" s="3"/>
      <c r="L34" s="3"/>
      <c r="M34" s="3"/>
      <c r="N34" s="3"/>
      <c r="O34" s="3"/>
      <c r="P34" s="3"/>
      <c r="Q34" s="3"/>
      <c r="R34" s="3"/>
      <c r="S34" s="3"/>
      <c r="T34" s="3"/>
      <c r="U34" s="3"/>
      <c r="V34" s="3"/>
      <c r="W34" s="3"/>
      <c r="X34" s="3"/>
    </row>
    <row r="35" spans="1:24" x14ac:dyDescent="0.3">
      <c r="A35" s="3"/>
      <c r="B35" s="3"/>
      <c r="C35" s="3"/>
      <c r="D35" s="3"/>
      <c r="E35" s="3"/>
      <c r="F35" s="3"/>
      <c r="G35" s="3"/>
      <c r="H35" s="3"/>
      <c r="I35" s="3"/>
      <c r="J35" s="3"/>
      <c r="K35" s="3"/>
      <c r="L35" s="3"/>
      <c r="M35" s="3"/>
      <c r="N35" s="3"/>
      <c r="O35" s="3"/>
      <c r="P35" s="3"/>
      <c r="Q35" s="3"/>
      <c r="R35" s="3"/>
      <c r="S35" s="3"/>
      <c r="T35" s="3"/>
      <c r="U35" s="3"/>
      <c r="V35" s="3"/>
      <c r="W35" s="3"/>
      <c r="X35" s="3"/>
    </row>
    <row r="36" spans="1:24" x14ac:dyDescent="0.3">
      <c r="A36" s="3"/>
      <c r="B36" s="3"/>
      <c r="C36" s="3"/>
      <c r="D36" s="3"/>
      <c r="E36" s="3"/>
      <c r="F36" s="3"/>
      <c r="G36" s="3"/>
      <c r="H36" s="3"/>
      <c r="I36" s="3"/>
      <c r="J36" s="3"/>
      <c r="K36" s="3"/>
      <c r="L36" s="3"/>
      <c r="M36" s="3"/>
      <c r="N36" s="3"/>
      <c r="O36" s="3"/>
      <c r="P36" s="3"/>
      <c r="Q36" s="3"/>
      <c r="R36" s="3"/>
      <c r="S36" s="3"/>
      <c r="T36" s="3"/>
      <c r="U36" s="3"/>
      <c r="V36" s="3"/>
      <c r="W36" s="3"/>
      <c r="X36" s="3"/>
    </row>
    <row r="37" spans="1:24" x14ac:dyDescent="0.3">
      <c r="A37" s="3"/>
      <c r="B37" s="3"/>
      <c r="C37" s="3"/>
      <c r="D37" s="3"/>
      <c r="E37" s="3"/>
      <c r="F37" s="3"/>
      <c r="G37" s="3"/>
      <c r="H37" s="3"/>
      <c r="I37" s="3"/>
      <c r="J37" s="3"/>
      <c r="K37" s="3"/>
      <c r="L37" s="3"/>
      <c r="M37" s="3"/>
      <c r="N37" s="3"/>
      <c r="O37" s="3"/>
      <c r="P37" s="3"/>
      <c r="Q37" s="3"/>
      <c r="R37" s="3"/>
      <c r="S37" s="3"/>
      <c r="T37" s="3"/>
      <c r="U37" s="3"/>
      <c r="V37" s="3"/>
      <c r="W37" s="3"/>
      <c r="X37" s="3"/>
    </row>
    <row r="38" spans="1:24" x14ac:dyDescent="0.3">
      <c r="A38" s="3"/>
      <c r="B38" s="3"/>
      <c r="C38" s="3"/>
      <c r="D38" s="3"/>
      <c r="E38" s="3"/>
      <c r="F38" s="3"/>
      <c r="G38" s="3"/>
      <c r="H38" s="3"/>
      <c r="I38" s="3"/>
      <c r="J38" s="3"/>
      <c r="K38" s="3"/>
      <c r="L38" s="3"/>
      <c r="M38" s="3"/>
      <c r="N38" s="3"/>
      <c r="O38" s="3"/>
      <c r="P38" s="3"/>
      <c r="Q38" s="3"/>
      <c r="R38" s="3"/>
      <c r="S38" s="3"/>
      <c r="T38" s="3"/>
      <c r="U38" s="3"/>
      <c r="V38" s="3"/>
      <c r="W38" s="3"/>
      <c r="X38" s="3"/>
    </row>
    <row r="39" spans="1:24" x14ac:dyDescent="0.3">
      <c r="A39" s="3"/>
      <c r="B39" s="3"/>
      <c r="C39" s="3"/>
      <c r="D39" s="3"/>
      <c r="E39" s="3"/>
      <c r="F39" s="3"/>
      <c r="G39" s="3"/>
      <c r="H39" s="3"/>
      <c r="I39" s="3"/>
      <c r="J39" s="3"/>
      <c r="K39" s="3"/>
      <c r="L39" s="3"/>
      <c r="M39" s="3"/>
      <c r="N39" s="3"/>
      <c r="O39" s="3"/>
      <c r="P39" s="3"/>
      <c r="Q39" s="3"/>
      <c r="R39" s="3"/>
      <c r="S39" s="3"/>
      <c r="T39" s="3"/>
      <c r="U39" s="3"/>
      <c r="V39" s="3"/>
      <c r="W39" s="3"/>
      <c r="X39" s="3"/>
    </row>
    <row r="40" spans="1:24" x14ac:dyDescent="0.3">
      <c r="A40" s="3"/>
      <c r="B40" s="3"/>
      <c r="C40" s="3"/>
      <c r="D40" s="3"/>
      <c r="E40" s="3"/>
      <c r="F40" s="3"/>
      <c r="G40" s="3"/>
      <c r="H40" s="3"/>
      <c r="I40" s="3"/>
      <c r="J40" s="3"/>
      <c r="K40" s="3"/>
      <c r="L40" s="3"/>
      <c r="M40" s="3"/>
      <c r="N40" s="3"/>
      <c r="O40" s="3"/>
      <c r="P40" s="3"/>
      <c r="Q40" s="3"/>
      <c r="R40" s="3"/>
      <c r="S40" s="3"/>
      <c r="T40" s="3"/>
      <c r="U40" s="3"/>
      <c r="V40" s="3"/>
      <c r="W40" s="3"/>
      <c r="X40" s="3"/>
    </row>
    <row r="41" spans="1:24" x14ac:dyDescent="0.3">
      <c r="A41" s="3"/>
      <c r="B41" s="3"/>
      <c r="C41" s="3"/>
      <c r="D41" s="3"/>
      <c r="E41" s="3"/>
      <c r="F41" s="3"/>
      <c r="G41" s="3"/>
      <c r="H41" s="3"/>
      <c r="I41" s="3"/>
      <c r="J41" s="3"/>
      <c r="K41" s="3"/>
      <c r="L41" s="3"/>
      <c r="M41" s="3"/>
      <c r="N41" s="3"/>
      <c r="O41" s="3"/>
      <c r="P41" s="3"/>
      <c r="Q41" s="3"/>
      <c r="R41" s="3"/>
      <c r="S41" s="3"/>
      <c r="T41" s="3"/>
      <c r="U41" s="3"/>
      <c r="V41" s="3"/>
      <c r="W41" s="3"/>
      <c r="X41" s="3"/>
    </row>
    <row r="42" spans="1:24" x14ac:dyDescent="0.3">
      <c r="A42" s="3"/>
      <c r="B42" s="3"/>
      <c r="C42" s="3"/>
      <c r="D42" s="3"/>
      <c r="E42" s="3"/>
      <c r="F42" s="3"/>
      <c r="G42" s="3"/>
      <c r="H42" s="3"/>
      <c r="I42" s="3"/>
      <c r="J42" s="3"/>
      <c r="K42" s="3"/>
      <c r="L42" s="3"/>
      <c r="M42" s="3"/>
      <c r="N42" s="3"/>
      <c r="O42" s="3"/>
      <c r="P42" s="3"/>
      <c r="Q42" s="3"/>
      <c r="R42" s="3"/>
      <c r="S42" s="3"/>
      <c r="T42" s="3"/>
      <c r="U42" s="3"/>
      <c r="V42" s="3"/>
      <c r="W42" s="3"/>
      <c r="X42" s="3"/>
    </row>
    <row r="43" spans="1:24" x14ac:dyDescent="0.3">
      <c r="A43" s="2"/>
      <c r="B43" s="2"/>
      <c r="C43" s="2"/>
      <c r="D43" s="2"/>
      <c r="E43" s="2"/>
      <c r="F43" s="2"/>
      <c r="G43" s="2"/>
      <c r="H43" s="2"/>
      <c r="I43" s="2"/>
      <c r="J43" s="2"/>
      <c r="K43" s="2"/>
      <c r="L43" s="2"/>
      <c r="M43" s="2"/>
      <c r="N43" s="2"/>
      <c r="O43" s="2"/>
      <c r="P43" s="2"/>
      <c r="Q43" s="2"/>
      <c r="R43" s="2"/>
      <c r="S43" s="2"/>
      <c r="T43" s="2"/>
      <c r="U43" s="2"/>
    </row>
    <row r="44" spans="1:24" x14ac:dyDescent="0.3">
      <c r="A44" s="2"/>
      <c r="B44" s="2"/>
      <c r="C44" s="2"/>
      <c r="D44" s="2"/>
      <c r="E44" s="2"/>
      <c r="F44" s="2"/>
      <c r="G44" s="2"/>
      <c r="H44" s="2"/>
      <c r="I44" s="2"/>
      <c r="J44" s="2"/>
      <c r="K44" s="2"/>
      <c r="L44" s="2"/>
      <c r="M44" s="2"/>
      <c r="N44" s="2"/>
      <c r="O44" s="2"/>
      <c r="P44" s="2"/>
      <c r="Q44" s="2"/>
      <c r="R44" s="2"/>
      <c r="S44" s="2"/>
      <c r="T44" s="2"/>
      <c r="U44" s="2"/>
    </row>
    <row r="45" spans="1:24" x14ac:dyDescent="0.3">
      <c r="A45" s="2"/>
      <c r="B45" s="2"/>
      <c r="C45" s="2"/>
      <c r="D45" s="2"/>
      <c r="E45" s="2"/>
      <c r="F45" s="2"/>
      <c r="G45" s="2"/>
      <c r="H45" s="2"/>
      <c r="I45" s="2"/>
      <c r="J45" s="2"/>
      <c r="K45" s="2"/>
      <c r="L45" s="2"/>
      <c r="M45" s="2"/>
      <c r="N45" s="2"/>
      <c r="O45" s="2"/>
      <c r="P45" s="2"/>
      <c r="Q45" s="2"/>
      <c r="R45" s="2"/>
      <c r="S45" s="2"/>
      <c r="T45" s="2"/>
      <c r="U45" s="2"/>
    </row>
    <row r="46" spans="1:24" x14ac:dyDescent="0.3">
      <c r="A46" s="2"/>
      <c r="B46" s="2"/>
      <c r="C46" s="2"/>
      <c r="D46" s="2"/>
      <c r="E46" s="2"/>
      <c r="F46" s="2"/>
      <c r="G46" s="2"/>
      <c r="H46" s="2"/>
      <c r="I46" s="2"/>
      <c r="J46" s="2"/>
      <c r="K46" s="2"/>
      <c r="L46" s="2"/>
      <c r="M46" s="2"/>
      <c r="N46" s="2"/>
      <c r="O46" s="2"/>
      <c r="P46" s="2"/>
      <c r="Q46" s="2"/>
      <c r="R46" s="2"/>
      <c r="S46" s="2"/>
      <c r="T46" s="2"/>
      <c r="U46" s="2"/>
    </row>
    <row r="47" spans="1:24" x14ac:dyDescent="0.3">
      <c r="A47" s="2"/>
      <c r="B47" s="2"/>
      <c r="C47" s="2"/>
      <c r="D47" s="2"/>
      <c r="E47" s="2"/>
      <c r="F47" s="2"/>
      <c r="G47" s="2"/>
      <c r="H47" s="2"/>
      <c r="I47" s="2"/>
      <c r="J47" s="2"/>
      <c r="K47" s="2"/>
      <c r="L47" s="2"/>
      <c r="M47" s="2"/>
      <c r="N47" s="2"/>
      <c r="O47" s="2"/>
      <c r="P47" s="2"/>
      <c r="Q47" s="2"/>
      <c r="R47" s="2"/>
      <c r="S47" s="2"/>
      <c r="T47" s="2"/>
      <c r="U47" s="2"/>
    </row>
    <row r="48" spans="1:24" x14ac:dyDescent="0.3">
      <c r="A48" s="2"/>
      <c r="B48" s="2"/>
      <c r="C48" s="2"/>
      <c r="D48" s="2"/>
      <c r="E48" s="2"/>
      <c r="F48" s="2"/>
      <c r="G48" s="2"/>
      <c r="H48" s="2"/>
      <c r="I48" s="2"/>
      <c r="J48" s="2"/>
      <c r="K48" s="2"/>
      <c r="L48" s="2"/>
      <c r="M48" s="2"/>
      <c r="N48" s="2"/>
      <c r="O48" s="2"/>
      <c r="P48" s="2"/>
      <c r="Q48" s="2"/>
      <c r="R48" s="2"/>
      <c r="S48" s="2"/>
      <c r="T48" s="2"/>
      <c r="U48" s="2"/>
    </row>
    <row r="49" spans="1:21" x14ac:dyDescent="0.3">
      <c r="A49" s="2"/>
      <c r="B49" s="2"/>
      <c r="C49" s="2"/>
      <c r="D49" s="2"/>
      <c r="E49" s="2"/>
      <c r="F49" s="2"/>
      <c r="G49" s="2"/>
      <c r="H49" s="2"/>
      <c r="I49" s="2"/>
      <c r="J49" s="2"/>
      <c r="K49" s="2"/>
      <c r="L49" s="2"/>
      <c r="M49" s="2"/>
      <c r="N49" s="2"/>
      <c r="O49" s="2"/>
      <c r="P49" s="2"/>
      <c r="Q49" s="2"/>
      <c r="R49" s="2"/>
      <c r="S49" s="2"/>
      <c r="T49" s="2"/>
      <c r="U49" s="2"/>
    </row>
    <row r="50" spans="1:21" x14ac:dyDescent="0.3">
      <c r="A50" s="2"/>
      <c r="B50" s="2"/>
      <c r="C50" s="2"/>
      <c r="D50" s="2"/>
      <c r="E50" s="2"/>
      <c r="F50" s="2"/>
      <c r="G50" s="2"/>
      <c r="H50" s="2"/>
      <c r="I50" s="2"/>
      <c r="J50" s="2"/>
      <c r="K50" s="2"/>
      <c r="L50" s="2"/>
      <c r="M50" s="2"/>
      <c r="N50" s="2"/>
      <c r="O50" s="2"/>
      <c r="P50" s="2"/>
      <c r="Q50" s="2"/>
      <c r="R50" s="2"/>
      <c r="S50" s="2"/>
      <c r="T50" s="2"/>
      <c r="U50" s="2"/>
    </row>
    <row r="51" spans="1:21" x14ac:dyDescent="0.3">
      <c r="A51" s="2"/>
      <c r="B51" s="2"/>
      <c r="C51" s="2"/>
      <c r="D51" s="2"/>
      <c r="E51" s="2"/>
      <c r="F51" s="2"/>
      <c r="G51" s="2"/>
      <c r="H51" s="2"/>
      <c r="I51" s="2"/>
      <c r="J51" s="2"/>
      <c r="K51" s="2"/>
      <c r="L51" s="2"/>
      <c r="M51" s="2"/>
      <c r="N51" s="2"/>
      <c r="O51" s="2"/>
      <c r="P51" s="2"/>
      <c r="Q51" s="2"/>
      <c r="R51" s="2"/>
      <c r="S51" s="2"/>
      <c r="T51" s="2"/>
      <c r="U51" s="2"/>
    </row>
    <row r="52" spans="1:21" x14ac:dyDescent="0.3">
      <c r="A52" s="2"/>
      <c r="B52" s="2"/>
      <c r="C52" s="2"/>
      <c r="D52" s="2"/>
      <c r="E52" s="2"/>
      <c r="F52" s="2"/>
      <c r="G52" s="2"/>
      <c r="H52" s="2"/>
      <c r="I52" s="2"/>
      <c r="J52" s="2"/>
      <c r="K52" s="2"/>
      <c r="L52" s="2"/>
      <c r="M52" s="2"/>
      <c r="N52" s="2"/>
      <c r="O52" s="2"/>
      <c r="P52" s="2"/>
      <c r="Q52" s="2"/>
      <c r="R52" s="2"/>
      <c r="S52" s="2"/>
      <c r="T52" s="2"/>
      <c r="U52" s="2"/>
    </row>
    <row r="53" spans="1:21" x14ac:dyDescent="0.3">
      <c r="A53" s="2"/>
      <c r="B53" s="2"/>
      <c r="C53" s="2"/>
      <c r="D53" s="2"/>
      <c r="E53" s="2"/>
      <c r="F53" s="2"/>
      <c r="G53" s="2"/>
      <c r="H53" s="2"/>
      <c r="I53" s="2"/>
      <c r="J53" s="2"/>
      <c r="K53" s="2"/>
      <c r="L53" s="2"/>
      <c r="M53" s="2"/>
      <c r="N53" s="2"/>
      <c r="O53" s="2"/>
      <c r="P53" s="2"/>
      <c r="Q53" s="2"/>
      <c r="R53" s="2"/>
      <c r="S53" s="2"/>
      <c r="T53" s="2"/>
      <c r="U53" s="2"/>
    </row>
    <row r="54" spans="1:21" x14ac:dyDescent="0.3">
      <c r="A54" s="2"/>
      <c r="B54" s="2"/>
      <c r="C54" s="2"/>
      <c r="D54" s="2"/>
      <c r="E54" s="2"/>
      <c r="F54" s="2"/>
      <c r="G54" s="2"/>
      <c r="H54" s="2"/>
      <c r="I54" s="2"/>
      <c r="J54" s="2"/>
      <c r="K54" s="2"/>
      <c r="L54" s="2"/>
      <c r="M54" s="2"/>
      <c r="N54" s="2"/>
      <c r="O54" s="2"/>
      <c r="P54" s="2"/>
      <c r="Q54" s="2"/>
      <c r="R54" s="2"/>
      <c r="S54" s="2"/>
      <c r="T54" s="2"/>
      <c r="U54" s="2"/>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6AEB2-FED4-46FD-9FD6-2A86EA25640A}">
  <dimension ref="A1:Y35"/>
  <sheetViews>
    <sheetView workbookViewId="0"/>
  </sheetViews>
  <sheetFormatPr defaultRowHeight="14.4" x14ac:dyDescent="0.3"/>
  <sheetData>
    <row r="1" spans="1:25" x14ac:dyDescent="0.3">
      <c r="A1" s="2"/>
      <c r="B1" s="2"/>
      <c r="C1" s="2"/>
      <c r="D1" s="2"/>
      <c r="E1" s="2"/>
      <c r="F1" s="2"/>
      <c r="G1" s="2"/>
      <c r="H1" s="2"/>
      <c r="I1" s="2"/>
      <c r="J1" s="2"/>
      <c r="K1" s="2"/>
      <c r="L1" s="2"/>
      <c r="M1" s="2"/>
      <c r="N1" s="2"/>
      <c r="O1" s="2"/>
      <c r="P1" s="2"/>
      <c r="Q1" s="2"/>
      <c r="R1" s="2"/>
      <c r="S1" s="2"/>
      <c r="T1" s="2"/>
      <c r="U1" s="2"/>
      <c r="V1" s="2"/>
      <c r="W1" s="2"/>
      <c r="X1" s="2"/>
      <c r="Y1" s="2"/>
    </row>
    <row r="2" spans="1:25" x14ac:dyDescent="0.3">
      <c r="A2" s="2"/>
      <c r="B2" s="2"/>
      <c r="C2" s="2"/>
      <c r="D2" s="2"/>
      <c r="E2" s="2"/>
      <c r="F2" s="2"/>
      <c r="G2" s="2"/>
      <c r="H2" s="2"/>
      <c r="I2" s="2"/>
      <c r="J2" s="2"/>
      <c r="K2" s="2"/>
      <c r="L2" s="2"/>
      <c r="M2" s="2"/>
      <c r="N2" s="2"/>
      <c r="O2" s="2"/>
      <c r="P2" s="2"/>
      <c r="Q2" s="2"/>
      <c r="R2" s="2"/>
      <c r="S2" s="2"/>
      <c r="T2" s="2"/>
      <c r="U2" s="2"/>
      <c r="V2" s="2"/>
      <c r="W2" s="2"/>
      <c r="X2" s="2"/>
      <c r="Y2" s="2"/>
    </row>
    <row r="3" spans="1:25" x14ac:dyDescent="0.3">
      <c r="A3" s="2"/>
      <c r="B3" s="2"/>
      <c r="C3" s="2"/>
      <c r="D3" s="2"/>
      <c r="E3" s="2"/>
      <c r="F3" s="2"/>
      <c r="G3" s="2"/>
      <c r="H3" s="2"/>
      <c r="I3" s="2"/>
      <c r="J3" s="2"/>
      <c r="K3" s="2"/>
      <c r="L3" s="2"/>
      <c r="M3" s="2"/>
      <c r="N3" s="2"/>
      <c r="O3" s="2"/>
      <c r="P3" s="2"/>
      <c r="Q3" s="2"/>
      <c r="R3" s="2"/>
      <c r="S3" s="2"/>
      <c r="T3" s="2"/>
      <c r="U3" s="2"/>
      <c r="V3" s="2"/>
      <c r="W3" s="2"/>
      <c r="X3" s="2"/>
      <c r="Y3" s="2"/>
    </row>
    <row r="4" spans="1:25" x14ac:dyDescent="0.3">
      <c r="A4" s="2"/>
      <c r="B4" s="2"/>
      <c r="C4" s="2"/>
      <c r="D4" s="2"/>
      <c r="E4" s="2"/>
      <c r="F4" s="2"/>
      <c r="G4" s="2"/>
      <c r="H4" s="2"/>
      <c r="I4" s="2"/>
      <c r="J4" s="2"/>
      <c r="K4" s="2"/>
      <c r="L4" s="2"/>
      <c r="M4" s="2"/>
      <c r="N4" s="2"/>
      <c r="O4" s="2"/>
      <c r="P4" s="2"/>
      <c r="Q4" s="2"/>
      <c r="R4" s="2"/>
      <c r="S4" s="2"/>
      <c r="T4" s="2"/>
      <c r="U4" s="2"/>
      <c r="V4" s="2"/>
      <c r="W4" s="2"/>
      <c r="X4" s="2"/>
      <c r="Y4" s="2"/>
    </row>
    <row r="5" spans="1:25" x14ac:dyDescent="0.3">
      <c r="A5" s="2"/>
      <c r="B5" s="2"/>
      <c r="C5" s="2"/>
      <c r="D5" s="2"/>
      <c r="E5" s="2"/>
      <c r="F5" s="2"/>
      <c r="G5" s="2"/>
      <c r="H5" s="2"/>
      <c r="I5" s="2"/>
      <c r="J5" s="2"/>
      <c r="K5" s="2"/>
      <c r="L5" s="2"/>
      <c r="M5" s="2"/>
      <c r="N5" s="2"/>
      <c r="O5" s="2"/>
      <c r="P5" s="2"/>
      <c r="Q5" s="2"/>
      <c r="R5" s="2"/>
      <c r="S5" s="2"/>
      <c r="T5" s="2"/>
      <c r="U5" s="2"/>
      <c r="V5" s="2"/>
      <c r="W5" s="2"/>
      <c r="X5" s="2"/>
      <c r="Y5" s="2"/>
    </row>
    <row r="6" spans="1:25" x14ac:dyDescent="0.3">
      <c r="A6" s="2"/>
      <c r="B6" s="2"/>
      <c r="C6" s="2"/>
      <c r="D6" s="2"/>
      <c r="E6" s="2"/>
      <c r="F6" s="2"/>
      <c r="G6" s="2"/>
      <c r="H6" s="2"/>
      <c r="I6" s="2"/>
      <c r="J6" s="2"/>
      <c r="K6" s="2"/>
      <c r="L6" s="2"/>
      <c r="M6" s="2"/>
      <c r="N6" s="2"/>
      <c r="O6" s="2"/>
      <c r="P6" s="2"/>
      <c r="Q6" s="2"/>
      <c r="R6" s="2"/>
      <c r="S6" s="2"/>
      <c r="T6" s="2"/>
      <c r="U6" s="2"/>
      <c r="V6" s="2"/>
      <c r="W6" s="2"/>
      <c r="X6" s="2"/>
      <c r="Y6" s="2"/>
    </row>
    <row r="7" spans="1:25" x14ac:dyDescent="0.3">
      <c r="A7" s="2"/>
      <c r="B7" s="2"/>
      <c r="C7" s="2"/>
      <c r="D7" s="2"/>
      <c r="E7" s="2"/>
      <c r="F7" s="2"/>
      <c r="G7" s="2"/>
      <c r="H7" s="2"/>
      <c r="I7" s="2"/>
      <c r="J7" s="2"/>
      <c r="K7" s="2"/>
      <c r="L7" s="2"/>
      <c r="M7" s="2"/>
      <c r="N7" s="2"/>
      <c r="O7" s="2"/>
      <c r="P7" s="2"/>
      <c r="Q7" s="2"/>
      <c r="R7" s="2"/>
      <c r="S7" s="2"/>
      <c r="T7" s="2"/>
      <c r="U7" s="2"/>
      <c r="V7" s="2"/>
      <c r="W7" s="2"/>
      <c r="X7" s="2"/>
      <c r="Y7" s="2"/>
    </row>
    <row r="8" spans="1:25" x14ac:dyDescent="0.3">
      <c r="A8" s="2"/>
      <c r="B8" s="2"/>
      <c r="C8" s="2"/>
      <c r="D8" s="2"/>
      <c r="E8" s="2"/>
      <c r="F8" s="2"/>
      <c r="G8" s="2"/>
      <c r="H8" s="2"/>
      <c r="I8" s="2"/>
      <c r="J8" s="2"/>
      <c r="K8" s="2"/>
      <c r="L8" s="2"/>
      <c r="M8" s="2"/>
      <c r="N8" s="2"/>
      <c r="O8" s="2"/>
      <c r="P8" s="2"/>
      <c r="Q8" s="2"/>
      <c r="R8" s="2"/>
      <c r="S8" s="2"/>
      <c r="T8" s="2"/>
      <c r="U8" s="2"/>
      <c r="V8" s="2"/>
      <c r="W8" s="2"/>
      <c r="X8" s="2"/>
      <c r="Y8" s="2"/>
    </row>
    <row r="9" spans="1:25" x14ac:dyDescent="0.3">
      <c r="A9" s="2"/>
      <c r="B9" s="2"/>
      <c r="C9" s="2"/>
      <c r="D9" s="2"/>
      <c r="E9" s="2"/>
      <c r="F9" s="2"/>
      <c r="G9" s="2"/>
      <c r="H9" s="2"/>
      <c r="I9" s="2"/>
      <c r="J9" s="2"/>
      <c r="K9" s="2"/>
      <c r="L9" s="2"/>
      <c r="M9" s="2"/>
      <c r="N9" s="2"/>
      <c r="O9" s="2"/>
      <c r="P9" s="2"/>
      <c r="Q9" s="2"/>
      <c r="R9" s="2"/>
      <c r="S9" s="2"/>
      <c r="T9" s="2"/>
      <c r="U9" s="2"/>
      <c r="V9" s="2"/>
      <c r="W9" s="2"/>
      <c r="X9" s="2"/>
      <c r="Y9" s="2"/>
    </row>
    <row r="10" spans="1:25" x14ac:dyDescent="0.3">
      <c r="A10" s="2"/>
      <c r="B10" s="2"/>
      <c r="C10" s="2"/>
      <c r="D10" s="2"/>
      <c r="E10" s="2"/>
      <c r="F10" s="2"/>
      <c r="G10" s="2"/>
      <c r="H10" s="2"/>
      <c r="I10" s="2"/>
      <c r="J10" s="2"/>
      <c r="K10" s="2"/>
      <c r="L10" s="2"/>
      <c r="M10" s="2"/>
      <c r="N10" s="2"/>
      <c r="O10" s="2"/>
      <c r="P10" s="2"/>
      <c r="Q10" s="2"/>
      <c r="R10" s="2"/>
      <c r="S10" s="2"/>
      <c r="T10" s="2"/>
      <c r="U10" s="2"/>
      <c r="V10" s="2"/>
      <c r="W10" s="2"/>
      <c r="X10" s="2"/>
      <c r="Y10" s="2"/>
    </row>
    <row r="11" spans="1:25" x14ac:dyDescent="0.3">
      <c r="A11" s="2"/>
      <c r="B11" s="2"/>
      <c r="C11" s="2"/>
      <c r="D11" s="2"/>
      <c r="E11" s="2"/>
      <c r="F11" s="2"/>
      <c r="G11" s="2"/>
      <c r="H11" s="2"/>
      <c r="I11" s="2"/>
      <c r="J11" s="2"/>
      <c r="K11" s="2"/>
      <c r="L11" s="2"/>
      <c r="M11" s="2"/>
      <c r="N11" s="2"/>
      <c r="O11" s="2"/>
      <c r="P11" s="2"/>
      <c r="Q11" s="2"/>
      <c r="R11" s="2"/>
      <c r="S11" s="2"/>
      <c r="T11" s="2"/>
      <c r="U11" s="2"/>
      <c r="V11" s="2"/>
      <c r="W11" s="2"/>
      <c r="X11" s="2"/>
      <c r="Y11" s="2"/>
    </row>
    <row r="12" spans="1:25" x14ac:dyDescent="0.3">
      <c r="A12" s="2"/>
      <c r="B12" s="2"/>
      <c r="C12" s="2"/>
      <c r="D12" s="2"/>
      <c r="E12" s="2"/>
      <c r="F12" s="2"/>
      <c r="G12" s="2"/>
      <c r="H12" s="2"/>
      <c r="I12" s="2"/>
      <c r="J12" s="2"/>
      <c r="K12" s="2"/>
      <c r="L12" s="2"/>
      <c r="M12" s="2"/>
      <c r="N12" s="2"/>
      <c r="O12" s="2"/>
      <c r="P12" s="2"/>
      <c r="Q12" s="2"/>
      <c r="R12" s="2"/>
      <c r="S12" s="2"/>
      <c r="T12" s="2"/>
      <c r="U12" s="2"/>
      <c r="V12" s="2"/>
      <c r="W12" s="2"/>
      <c r="X12" s="2"/>
      <c r="Y12" s="2"/>
    </row>
    <row r="13" spans="1:25" x14ac:dyDescent="0.3">
      <c r="A13" s="2"/>
      <c r="B13" s="2"/>
      <c r="C13" s="2"/>
      <c r="D13" s="2"/>
      <c r="E13" s="2"/>
      <c r="F13" s="2"/>
      <c r="G13" s="2"/>
      <c r="H13" s="2"/>
      <c r="I13" s="2"/>
      <c r="J13" s="2"/>
      <c r="K13" s="2"/>
      <c r="L13" s="2"/>
      <c r="M13" s="2"/>
      <c r="N13" s="2"/>
      <c r="O13" s="2"/>
      <c r="P13" s="2"/>
      <c r="Q13" s="2"/>
      <c r="R13" s="2"/>
      <c r="S13" s="2"/>
      <c r="T13" s="2"/>
      <c r="U13" s="2"/>
      <c r="V13" s="2"/>
      <c r="W13" s="2"/>
      <c r="X13" s="2"/>
      <c r="Y13" s="2"/>
    </row>
    <row r="14" spans="1:25" x14ac:dyDescent="0.3">
      <c r="A14" s="2"/>
      <c r="B14" s="2"/>
      <c r="C14" s="2"/>
      <c r="D14" s="2"/>
      <c r="E14" s="2"/>
      <c r="F14" s="2"/>
      <c r="G14" s="2"/>
      <c r="H14" s="2"/>
      <c r="I14" s="2"/>
      <c r="J14" s="2"/>
      <c r="K14" s="2"/>
      <c r="L14" s="2"/>
      <c r="M14" s="2"/>
      <c r="N14" s="2"/>
      <c r="O14" s="2"/>
      <c r="P14" s="2"/>
      <c r="Q14" s="2"/>
      <c r="R14" s="2"/>
      <c r="S14" s="2"/>
      <c r="T14" s="2"/>
      <c r="U14" s="2"/>
      <c r="V14" s="2"/>
      <c r="W14" s="2"/>
      <c r="X14" s="2"/>
      <c r="Y14" s="2"/>
    </row>
    <row r="15" spans="1:25" x14ac:dyDescent="0.3">
      <c r="A15" s="2"/>
      <c r="B15" s="2"/>
      <c r="C15" s="2"/>
      <c r="D15" s="2"/>
      <c r="E15" s="2"/>
      <c r="F15" s="2"/>
      <c r="G15" s="2"/>
      <c r="H15" s="2"/>
      <c r="I15" s="2"/>
      <c r="J15" s="2"/>
      <c r="K15" s="2"/>
      <c r="L15" s="2"/>
      <c r="M15" s="2"/>
      <c r="N15" s="2"/>
      <c r="O15" s="2"/>
      <c r="P15" s="2"/>
      <c r="Q15" s="2"/>
      <c r="R15" s="2"/>
      <c r="S15" s="2"/>
      <c r="T15" s="2"/>
      <c r="U15" s="2"/>
      <c r="V15" s="2"/>
      <c r="W15" s="2"/>
      <c r="X15" s="2"/>
      <c r="Y15" s="2"/>
    </row>
    <row r="16" spans="1:25" x14ac:dyDescent="0.3">
      <c r="A16" s="2"/>
      <c r="B16" s="2"/>
      <c r="C16" s="2"/>
      <c r="D16" s="2"/>
      <c r="E16" s="2"/>
      <c r="F16" s="2"/>
      <c r="G16" s="2"/>
      <c r="H16" s="2"/>
      <c r="I16" s="2"/>
      <c r="J16" s="2"/>
      <c r="K16" s="2"/>
      <c r="L16" s="2"/>
      <c r="M16" s="2"/>
      <c r="N16" s="2"/>
      <c r="O16" s="2"/>
      <c r="P16" s="2"/>
      <c r="Q16" s="2"/>
      <c r="R16" s="2"/>
      <c r="S16" s="2"/>
      <c r="T16" s="2"/>
      <c r="U16" s="2"/>
      <c r="V16" s="2"/>
      <c r="W16" s="2"/>
      <c r="X16" s="2"/>
      <c r="Y16" s="2"/>
    </row>
    <row r="17" spans="1:25" x14ac:dyDescent="0.3">
      <c r="A17" s="2"/>
      <c r="B17" s="2"/>
      <c r="C17" s="2"/>
      <c r="D17" s="2"/>
      <c r="E17" s="2"/>
      <c r="F17" s="2"/>
      <c r="G17" s="2"/>
      <c r="H17" s="2"/>
      <c r="I17" s="2"/>
      <c r="J17" s="2"/>
      <c r="K17" s="2"/>
      <c r="L17" s="2"/>
      <c r="M17" s="2"/>
      <c r="N17" s="2"/>
      <c r="O17" s="2"/>
      <c r="P17" s="2"/>
      <c r="Q17" s="2"/>
      <c r="R17" s="2"/>
      <c r="S17" s="2"/>
      <c r="T17" s="2"/>
      <c r="U17" s="2"/>
      <c r="V17" s="2"/>
      <c r="W17" s="2"/>
      <c r="X17" s="2"/>
      <c r="Y17" s="2"/>
    </row>
    <row r="18" spans="1:25" x14ac:dyDescent="0.3">
      <c r="A18" s="2"/>
      <c r="B18" s="2"/>
      <c r="C18" s="2"/>
      <c r="D18" s="2"/>
      <c r="E18" s="2"/>
      <c r="F18" s="2"/>
      <c r="G18" s="2"/>
      <c r="H18" s="2"/>
      <c r="I18" s="2"/>
      <c r="J18" s="2"/>
      <c r="K18" s="2"/>
      <c r="L18" s="2"/>
      <c r="M18" s="2"/>
      <c r="N18" s="2"/>
      <c r="O18" s="2"/>
      <c r="P18" s="2"/>
      <c r="Q18" s="2"/>
      <c r="R18" s="2"/>
      <c r="S18" s="2"/>
      <c r="T18" s="2"/>
      <c r="U18" s="2"/>
      <c r="V18" s="2"/>
      <c r="W18" s="2"/>
      <c r="X18" s="2"/>
      <c r="Y18" s="2"/>
    </row>
    <row r="19" spans="1:25" x14ac:dyDescent="0.3">
      <c r="A19" s="2"/>
      <c r="B19" s="2"/>
      <c r="C19" s="2"/>
      <c r="D19" s="2"/>
      <c r="E19" s="2"/>
      <c r="F19" s="2"/>
      <c r="G19" s="2"/>
      <c r="H19" s="2"/>
      <c r="I19" s="2"/>
      <c r="J19" s="2"/>
      <c r="K19" s="2"/>
      <c r="L19" s="2"/>
      <c r="M19" s="2"/>
      <c r="N19" s="2"/>
      <c r="O19" s="2"/>
      <c r="P19" s="2"/>
      <c r="Q19" s="2"/>
      <c r="R19" s="2"/>
      <c r="S19" s="2"/>
      <c r="T19" s="2"/>
      <c r="U19" s="2"/>
      <c r="V19" s="2"/>
      <c r="W19" s="2"/>
      <c r="X19" s="2"/>
      <c r="Y19" s="2"/>
    </row>
    <row r="20" spans="1:25" x14ac:dyDescent="0.3">
      <c r="A20" s="2"/>
      <c r="B20" s="2"/>
      <c r="C20" s="2"/>
      <c r="D20" s="2"/>
      <c r="E20" s="2"/>
      <c r="F20" s="2"/>
      <c r="G20" s="2"/>
      <c r="H20" s="2"/>
      <c r="I20" s="2"/>
      <c r="J20" s="2"/>
      <c r="K20" s="2"/>
      <c r="L20" s="2"/>
      <c r="M20" s="2"/>
      <c r="N20" s="2"/>
      <c r="O20" s="2"/>
      <c r="P20" s="2"/>
      <c r="Q20" s="2"/>
      <c r="R20" s="2"/>
      <c r="S20" s="2"/>
      <c r="T20" s="2"/>
      <c r="U20" s="2"/>
      <c r="V20" s="2"/>
      <c r="W20" s="2"/>
      <c r="X20" s="2"/>
      <c r="Y20" s="2"/>
    </row>
    <row r="21" spans="1:25" x14ac:dyDescent="0.3">
      <c r="A21" s="2"/>
      <c r="B21" s="2"/>
      <c r="C21" s="2"/>
      <c r="D21" s="2"/>
      <c r="E21" s="2"/>
      <c r="F21" s="2"/>
      <c r="G21" s="2"/>
      <c r="H21" s="2"/>
      <c r="I21" s="2"/>
      <c r="J21" s="2"/>
      <c r="K21" s="2"/>
      <c r="L21" s="2"/>
      <c r="M21" s="2"/>
      <c r="N21" s="2"/>
      <c r="O21" s="2"/>
      <c r="P21" s="2"/>
      <c r="Q21" s="2"/>
      <c r="R21" s="2"/>
      <c r="S21" s="2"/>
      <c r="T21" s="2"/>
      <c r="U21" s="2"/>
      <c r="V21" s="2"/>
      <c r="W21" s="2"/>
      <c r="X21" s="2"/>
      <c r="Y21" s="2"/>
    </row>
    <row r="22" spans="1:25" x14ac:dyDescent="0.3">
      <c r="A22" s="2"/>
      <c r="B22" s="2"/>
      <c r="C22" s="2"/>
      <c r="D22" s="2"/>
      <c r="E22" s="2"/>
      <c r="F22" s="2"/>
      <c r="G22" s="2"/>
      <c r="H22" s="2"/>
      <c r="I22" s="2"/>
      <c r="J22" s="2"/>
      <c r="K22" s="2"/>
      <c r="L22" s="2"/>
      <c r="M22" s="2"/>
      <c r="N22" s="2"/>
      <c r="O22" s="2"/>
      <c r="P22" s="2"/>
      <c r="Q22" s="2"/>
      <c r="R22" s="2"/>
      <c r="S22" s="2"/>
      <c r="T22" s="2"/>
      <c r="U22" s="2"/>
      <c r="V22" s="2"/>
      <c r="W22" s="2"/>
      <c r="X22" s="2"/>
      <c r="Y22" s="2"/>
    </row>
    <row r="23" spans="1:25" x14ac:dyDescent="0.3">
      <c r="A23" s="2"/>
      <c r="B23" s="2"/>
      <c r="C23" s="2"/>
      <c r="D23" s="2"/>
      <c r="E23" s="2"/>
      <c r="F23" s="2"/>
      <c r="G23" s="2"/>
      <c r="H23" s="2"/>
      <c r="I23" s="2"/>
      <c r="J23" s="2"/>
      <c r="K23" s="2"/>
      <c r="L23" s="2"/>
      <c r="M23" s="2"/>
      <c r="N23" s="2"/>
      <c r="O23" s="2"/>
      <c r="P23" s="2"/>
      <c r="Q23" s="2"/>
      <c r="R23" s="2"/>
      <c r="S23" s="2"/>
      <c r="T23" s="2"/>
      <c r="U23" s="2"/>
      <c r="V23" s="2"/>
      <c r="W23" s="2"/>
      <c r="X23" s="2"/>
      <c r="Y23" s="2"/>
    </row>
    <row r="24" spans="1:25" x14ac:dyDescent="0.3">
      <c r="A24" s="2"/>
      <c r="B24" s="2"/>
      <c r="C24" s="2"/>
      <c r="D24" s="2"/>
      <c r="E24" s="2"/>
      <c r="F24" s="2"/>
      <c r="G24" s="2"/>
      <c r="H24" s="2"/>
      <c r="I24" s="2"/>
      <c r="J24" s="2"/>
      <c r="K24" s="2"/>
      <c r="L24" s="2"/>
      <c r="M24" s="2"/>
      <c r="N24" s="2"/>
      <c r="O24" s="2"/>
      <c r="P24" s="2"/>
      <c r="Q24" s="2"/>
      <c r="R24" s="2"/>
      <c r="S24" s="2"/>
      <c r="T24" s="2"/>
      <c r="U24" s="2"/>
      <c r="V24" s="2"/>
      <c r="W24" s="2"/>
      <c r="X24" s="2"/>
      <c r="Y24" s="2"/>
    </row>
    <row r="25" spans="1:25" x14ac:dyDescent="0.3">
      <c r="A25" s="2"/>
      <c r="B25" s="2"/>
      <c r="C25" s="12" t="s">
        <v>37</v>
      </c>
      <c r="D25" s="13"/>
      <c r="E25" s="13"/>
      <c r="F25" s="13"/>
      <c r="G25" s="13"/>
      <c r="H25" s="13"/>
      <c r="I25" s="13"/>
      <c r="J25" s="13"/>
      <c r="K25" s="13"/>
      <c r="L25" s="13"/>
      <c r="M25" s="13"/>
      <c r="N25" s="13"/>
      <c r="O25" s="13"/>
      <c r="P25" s="13"/>
      <c r="Q25" s="13"/>
      <c r="R25" s="13"/>
      <c r="S25" s="13"/>
      <c r="T25" s="13"/>
      <c r="U25" s="2"/>
      <c r="V25" s="2"/>
      <c r="W25" s="2"/>
      <c r="X25" s="2"/>
      <c r="Y25" s="2"/>
    </row>
    <row r="26" spans="1:25" x14ac:dyDescent="0.3">
      <c r="A26" s="2"/>
      <c r="B26" s="2"/>
      <c r="C26" s="13"/>
      <c r="D26" s="13"/>
      <c r="E26" s="13"/>
      <c r="F26" s="13"/>
      <c r="G26" s="13"/>
      <c r="H26" s="13"/>
      <c r="I26" s="13"/>
      <c r="J26" s="13"/>
      <c r="K26" s="13"/>
      <c r="L26" s="13"/>
      <c r="M26" s="13"/>
      <c r="N26" s="13"/>
      <c r="O26" s="13"/>
      <c r="P26" s="13"/>
      <c r="Q26" s="13"/>
      <c r="R26" s="13"/>
      <c r="S26" s="13"/>
      <c r="T26" s="13"/>
      <c r="U26" s="2"/>
      <c r="V26" s="2"/>
      <c r="W26" s="2"/>
      <c r="X26" s="2"/>
      <c r="Y26" s="2"/>
    </row>
    <row r="27" spans="1:25" x14ac:dyDescent="0.3">
      <c r="A27" s="2"/>
      <c r="B27" s="2"/>
      <c r="C27" s="2"/>
      <c r="D27" s="2"/>
      <c r="E27" s="2"/>
      <c r="F27" s="2"/>
      <c r="G27" s="2"/>
      <c r="H27" s="2"/>
      <c r="I27" s="2"/>
      <c r="J27" s="2"/>
      <c r="K27" s="2"/>
      <c r="L27" s="2"/>
      <c r="M27" s="2"/>
      <c r="N27" s="2"/>
      <c r="O27" s="2"/>
      <c r="P27" s="2"/>
      <c r="Q27" s="2"/>
      <c r="R27" s="2"/>
      <c r="S27" s="2"/>
      <c r="T27" s="2"/>
      <c r="U27" s="2"/>
      <c r="V27" s="2"/>
      <c r="W27" s="2"/>
      <c r="X27" s="2"/>
      <c r="Y27" s="2"/>
    </row>
    <row r="28" spans="1:25" x14ac:dyDescent="0.3">
      <c r="A28" s="2"/>
      <c r="B28" s="2"/>
      <c r="C28" s="2"/>
      <c r="D28" s="2"/>
      <c r="E28" s="2"/>
      <c r="F28" s="2"/>
      <c r="G28" s="2"/>
      <c r="H28" s="2"/>
      <c r="I28" s="2"/>
      <c r="J28" s="2"/>
      <c r="K28" s="2"/>
      <c r="L28" s="2"/>
      <c r="M28" s="2"/>
      <c r="N28" s="2"/>
      <c r="O28" s="2"/>
      <c r="P28" s="2"/>
      <c r="Q28" s="2"/>
      <c r="R28" s="2"/>
      <c r="S28" s="2"/>
      <c r="T28" s="2"/>
      <c r="U28" s="2"/>
      <c r="V28" s="2"/>
      <c r="W28" s="2"/>
      <c r="X28" s="2"/>
      <c r="Y28" s="2"/>
    </row>
    <row r="29" spans="1:25" x14ac:dyDescent="0.3">
      <c r="A29" s="2"/>
      <c r="B29" s="2"/>
      <c r="C29" s="2"/>
      <c r="D29" s="2"/>
      <c r="E29" s="2"/>
      <c r="F29" s="2"/>
      <c r="G29" s="2"/>
      <c r="H29" s="2"/>
      <c r="I29" s="2"/>
      <c r="J29" s="2"/>
      <c r="K29" s="2"/>
      <c r="L29" s="2"/>
      <c r="M29" s="2"/>
      <c r="N29" s="2"/>
      <c r="O29" s="2"/>
      <c r="P29" s="2"/>
      <c r="Q29" s="2"/>
      <c r="R29" s="2"/>
      <c r="S29" s="2"/>
      <c r="T29" s="2"/>
      <c r="U29" s="2"/>
      <c r="V29" s="2"/>
      <c r="W29" s="2"/>
      <c r="X29" s="2"/>
      <c r="Y29" s="2"/>
    </row>
    <row r="30" spans="1:25" x14ac:dyDescent="0.3">
      <c r="A30" s="2"/>
      <c r="B30" s="2"/>
      <c r="C30" s="2"/>
      <c r="D30" s="2"/>
      <c r="E30" s="2"/>
      <c r="F30" s="2"/>
      <c r="G30" s="2"/>
      <c r="H30" s="2"/>
      <c r="I30" s="2"/>
      <c r="J30" s="2"/>
      <c r="K30" s="2"/>
      <c r="L30" s="2"/>
      <c r="M30" s="2"/>
      <c r="N30" s="2"/>
      <c r="O30" s="2"/>
      <c r="P30" s="2"/>
      <c r="Q30" s="2"/>
      <c r="R30" s="2"/>
      <c r="S30" s="2"/>
      <c r="T30" s="2"/>
      <c r="U30" s="2"/>
      <c r="V30" s="2"/>
      <c r="W30" s="2"/>
      <c r="X30" s="2"/>
      <c r="Y30" s="2"/>
    </row>
    <row r="31" spans="1:25" x14ac:dyDescent="0.3">
      <c r="A31" s="2"/>
      <c r="B31" s="2"/>
      <c r="C31" s="2"/>
      <c r="D31" s="2"/>
      <c r="E31" s="2"/>
      <c r="F31" s="2"/>
      <c r="G31" s="2"/>
      <c r="H31" s="2"/>
      <c r="I31" s="2"/>
      <c r="J31" s="2"/>
      <c r="K31" s="2"/>
      <c r="L31" s="2"/>
      <c r="M31" s="2"/>
      <c r="N31" s="2"/>
      <c r="O31" s="2"/>
      <c r="P31" s="2"/>
      <c r="Q31" s="2"/>
      <c r="R31" s="2"/>
      <c r="S31" s="2"/>
      <c r="T31" s="2"/>
      <c r="U31" s="2"/>
      <c r="V31" s="2"/>
      <c r="W31" s="2"/>
      <c r="X31" s="2"/>
      <c r="Y31" s="2"/>
    </row>
    <row r="32" spans="1:25" x14ac:dyDescent="0.3">
      <c r="A32" s="2"/>
      <c r="B32" s="2"/>
      <c r="C32" s="2"/>
      <c r="D32" s="2"/>
      <c r="E32" s="2"/>
      <c r="F32" s="2"/>
      <c r="G32" s="2"/>
      <c r="H32" s="2"/>
      <c r="I32" s="2"/>
      <c r="J32" s="2"/>
      <c r="K32" s="2"/>
      <c r="L32" s="2"/>
      <c r="M32" s="2"/>
      <c r="N32" s="2"/>
      <c r="O32" s="2"/>
      <c r="P32" s="2"/>
      <c r="Q32" s="2"/>
      <c r="R32" s="2"/>
      <c r="S32" s="2"/>
      <c r="T32" s="2"/>
      <c r="U32" s="2"/>
      <c r="V32" s="2"/>
      <c r="W32" s="2"/>
      <c r="X32" s="2"/>
      <c r="Y32" s="2"/>
    </row>
    <row r="33" spans="1:25" x14ac:dyDescent="0.3">
      <c r="A33" s="2"/>
      <c r="B33" s="2"/>
      <c r="C33" s="2"/>
      <c r="D33" s="2"/>
      <c r="E33" s="2"/>
      <c r="F33" s="2"/>
      <c r="G33" s="2"/>
      <c r="H33" s="2"/>
      <c r="I33" s="2"/>
      <c r="J33" s="2"/>
      <c r="K33" s="2"/>
      <c r="L33" s="2"/>
      <c r="M33" s="2"/>
      <c r="N33" s="2"/>
      <c r="O33" s="2"/>
      <c r="P33" s="2"/>
      <c r="Q33" s="2"/>
      <c r="R33" s="2"/>
      <c r="S33" s="2"/>
      <c r="T33" s="2"/>
      <c r="U33" s="2"/>
      <c r="V33" s="2"/>
      <c r="W33" s="2"/>
      <c r="X33" s="2"/>
      <c r="Y33" s="2"/>
    </row>
    <row r="34" spans="1:25" x14ac:dyDescent="0.3">
      <c r="A34" s="2"/>
      <c r="B34" s="2"/>
      <c r="C34" s="2"/>
      <c r="D34" s="2"/>
      <c r="E34" s="2"/>
      <c r="F34" s="2"/>
      <c r="G34" s="2"/>
      <c r="H34" s="2"/>
      <c r="I34" s="2"/>
      <c r="J34" s="2"/>
      <c r="K34" s="2"/>
      <c r="L34" s="2"/>
      <c r="M34" s="2"/>
      <c r="N34" s="2"/>
      <c r="O34" s="2"/>
      <c r="P34" s="2"/>
      <c r="Q34" s="2"/>
      <c r="R34" s="2"/>
      <c r="S34" s="2"/>
      <c r="T34" s="2"/>
      <c r="U34" s="2"/>
      <c r="V34" s="2"/>
      <c r="W34" s="2"/>
      <c r="X34" s="2"/>
      <c r="Y34" s="2"/>
    </row>
    <row r="35" spans="1:25" x14ac:dyDescent="0.3">
      <c r="A35" s="2"/>
      <c r="B35" s="2"/>
      <c r="C35" s="2"/>
      <c r="D35" s="2"/>
      <c r="E35" s="2"/>
      <c r="F35" s="2"/>
      <c r="G35" s="2"/>
      <c r="H35" s="2"/>
      <c r="I35" s="2"/>
      <c r="J35" s="2"/>
      <c r="K35" s="2"/>
      <c r="L35" s="2"/>
      <c r="M35" s="2"/>
      <c r="N35" s="2"/>
      <c r="O35" s="2"/>
      <c r="P35" s="2"/>
      <c r="Q35" s="2"/>
      <c r="R35" s="2"/>
      <c r="S35" s="2"/>
      <c r="T35" s="2"/>
      <c r="U35" s="2"/>
      <c r="V35" s="2"/>
      <c r="W35" s="2"/>
      <c r="X35" s="2"/>
      <c r="Y35" s="2"/>
    </row>
  </sheetData>
  <mergeCells count="1">
    <mergeCell ref="C25:T2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02989-4211-49ED-A4E1-AACA148C537E}">
  <dimension ref="A1:Z34"/>
  <sheetViews>
    <sheetView workbookViewId="0">
      <selection activeCell="D27" sqref="D27:U28"/>
    </sheetView>
  </sheetViews>
  <sheetFormatPr defaultRowHeight="14.4" x14ac:dyDescent="0.3"/>
  <sheetData>
    <row r="1" spans="1:26" x14ac:dyDescent="0.3">
      <c r="A1" s="2"/>
      <c r="B1" s="2"/>
      <c r="C1" s="2"/>
      <c r="D1" s="2"/>
      <c r="E1" s="2"/>
      <c r="F1" s="2"/>
      <c r="G1" s="2"/>
      <c r="H1" s="2"/>
      <c r="I1" s="2"/>
      <c r="J1" s="2"/>
      <c r="K1" s="2"/>
      <c r="L1" s="2"/>
      <c r="M1" s="2"/>
      <c r="N1" s="2"/>
      <c r="O1" s="2"/>
      <c r="P1" s="2"/>
      <c r="Q1" s="2"/>
      <c r="R1" s="2"/>
      <c r="S1" s="2"/>
      <c r="T1" s="2"/>
      <c r="U1" s="2"/>
      <c r="V1" s="2"/>
      <c r="W1" s="2"/>
      <c r="X1" s="2"/>
      <c r="Y1" s="2"/>
      <c r="Z1" s="2"/>
    </row>
    <row r="2" spans="1:26" x14ac:dyDescent="0.3">
      <c r="A2" s="2"/>
      <c r="B2" s="2"/>
      <c r="C2" s="2"/>
      <c r="D2" s="2"/>
      <c r="E2" s="2"/>
      <c r="F2" s="2"/>
      <c r="G2" s="2"/>
      <c r="H2" s="2"/>
      <c r="I2" s="2"/>
      <c r="J2" s="2"/>
      <c r="K2" s="2"/>
      <c r="L2" s="2"/>
      <c r="M2" s="2"/>
      <c r="N2" s="2"/>
      <c r="O2" s="2"/>
      <c r="P2" s="2"/>
      <c r="Q2" s="2"/>
      <c r="R2" s="2"/>
      <c r="S2" s="2"/>
      <c r="T2" s="2"/>
      <c r="U2" s="2"/>
      <c r="V2" s="2"/>
      <c r="W2" s="2"/>
      <c r="X2" s="2"/>
      <c r="Y2" s="2"/>
      <c r="Z2" s="2"/>
    </row>
    <row r="3" spans="1:26" x14ac:dyDescent="0.3">
      <c r="A3" s="2"/>
      <c r="B3" s="2"/>
      <c r="C3" s="2"/>
      <c r="D3" s="2"/>
      <c r="E3" s="2"/>
      <c r="F3" s="2"/>
      <c r="G3" s="2"/>
      <c r="H3" s="2"/>
      <c r="I3" s="2"/>
      <c r="J3" s="2"/>
      <c r="K3" s="2"/>
      <c r="L3" s="2"/>
      <c r="M3" s="2"/>
      <c r="N3" s="2"/>
      <c r="O3" s="2"/>
      <c r="P3" s="2"/>
      <c r="Q3" s="2"/>
      <c r="R3" s="2"/>
      <c r="S3" s="2"/>
      <c r="T3" s="2"/>
      <c r="U3" s="2"/>
      <c r="V3" s="2"/>
      <c r="W3" s="2"/>
      <c r="X3" s="2"/>
      <c r="Y3" s="2"/>
      <c r="Z3" s="2"/>
    </row>
    <row r="4" spans="1:26" x14ac:dyDescent="0.3">
      <c r="A4" s="2"/>
      <c r="B4" s="2"/>
      <c r="C4" s="2"/>
      <c r="D4" s="2"/>
      <c r="E4" s="2"/>
      <c r="F4" s="2"/>
      <c r="G4" s="2"/>
      <c r="H4" s="2"/>
      <c r="I4" s="2"/>
      <c r="J4" s="2"/>
      <c r="K4" s="2"/>
      <c r="L4" s="2"/>
      <c r="M4" s="2"/>
      <c r="N4" s="2"/>
      <c r="O4" s="2"/>
      <c r="P4" s="2"/>
      <c r="Q4" s="2"/>
      <c r="R4" s="2"/>
      <c r="S4" s="2"/>
      <c r="T4" s="2"/>
      <c r="U4" s="2"/>
      <c r="V4" s="2"/>
      <c r="W4" s="2"/>
      <c r="X4" s="2"/>
      <c r="Y4" s="2"/>
      <c r="Z4" s="2"/>
    </row>
    <row r="5" spans="1:26" x14ac:dyDescent="0.3">
      <c r="A5" s="2"/>
      <c r="B5" s="2"/>
      <c r="C5" s="2"/>
      <c r="D5" s="2"/>
      <c r="E5" s="2"/>
      <c r="F5" s="2"/>
      <c r="G5" s="2"/>
      <c r="H5" s="2"/>
      <c r="I5" s="2"/>
      <c r="J5" s="2"/>
      <c r="K5" s="2"/>
      <c r="L5" s="2"/>
      <c r="M5" s="2"/>
      <c r="N5" s="2"/>
      <c r="O5" s="2"/>
      <c r="P5" s="2"/>
      <c r="Q5" s="2"/>
      <c r="R5" s="2"/>
      <c r="S5" s="2"/>
      <c r="T5" s="2"/>
      <c r="U5" s="2"/>
      <c r="V5" s="2"/>
      <c r="W5" s="2"/>
      <c r="X5" s="2"/>
      <c r="Y5" s="2"/>
      <c r="Z5" s="2"/>
    </row>
    <row r="6" spans="1:26" x14ac:dyDescent="0.3">
      <c r="A6" s="2"/>
      <c r="B6" s="2"/>
      <c r="C6" s="2"/>
      <c r="D6" s="2"/>
      <c r="E6" s="2"/>
      <c r="F6" s="2"/>
      <c r="G6" s="2"/>
      <c r="H6" s="2"/>
      <c r="I6" s="2"/>
      <c r="J6" s="2"/>
      <c r="K6" s="2"/>
      <c r="L6" s="2"/>
      <c r="M6" s="2"/>
      <c r="N6" s="2"/>
      <c r="O6" s="2"/>
      <c r="P6" s="2"/>
      <c r="Q6" s="2"/>
      <c r="R6" s="2"/>
      <c r="S6" s="2"/>
      <c r="T6" s="2"/>
      <c r="U6" s="2"/>
      <c r="V6" s="2"/>
      <c r="W6" s="2"/>
      <c r="X6" s="2"/>
      <c r="Y6" s="2"/>
      <c r="Z6" s="2"/>
    </row>
    <row r="7" spans="1:26" x14ac:dyDescent="0.3">
      <c r="A7" s="2"/>
      <c r="B7" s="2"/>
      <c r="C7" s="2"/>
      <c r="D7" s="2"/>
      <c r="E7" s="2"/>
      <c r="F7" s="2"/>
      <c r="G7" s="2"/>
      <c r="H7" s="2"/>
      <c r="I7" s="2"/>
      <c r="J7" s="2"/>
      <c r="K7" s="2"/>
      <c r="L7" s="2"/>
      <c r="M7" s="2"/>
      <c r="N7" s="2"/>
      <c r="O7" s="2"/>
      <c r="P7" s="2"/>
      <c r="Q7" s="2"/>
      <c r="R7" s="2"/>
      <c r="S7" s="2"/>
      <c r="T7" s="2"/>
      <c r="U7" s="2"/>
      <c r="V7" s="2"/>
      <c r="W7" s="2"/>
      <c r="X7" s="2"/>
      <c r="Y7" s="2"/>
      <c r="Z7" s="2"/>
    </row>
    <row r="8" spans="1:26" x14ac:dyDescent="0.3">
      <c r="A8" s="2"/>
      <c r="B8" s="2"/>
      <c r="C8" s="2"/>
      <c r="D8" s="2"/>
      <c r="E8" s="2"/>
      <c r="F8" s="2"/>
      <c r="G8" s="2"/>
      <c r="H8" s="2"/>
      <c r="I8" s="2"/>
      <c r="J8" s="2"/>
      <c r="K8" s="2"/>
      <c r="L8" s="2"/>
      <c r="M8" s="2"/>
      <c r="N8" s="2"/>
      <c r="O8" s="2"/>
      <c r="P8" s="2"/>
      <c r="Q8" s="2"/>
      <c r="R8" s="2"/>
      <c r="S8" s="2"/>
      <c r="T8" s="2"/>
      <c r="U8" s="2"/>
      <c r="V8" s="2"/>
      <c r="W8" s="2"/>
      <c r="X8" s="2"/>
      <c r="Y8" s="2"/>
      <c r="Z8" s="2"/>
    </row>
    <row r="9" spans="1:26" x14ac:dyDescent="0.3">
      <c r="A9" s="2"/>
      <c r="B9" s="2"/>
      <c r="C9" s="2"/>
      <c r="D9" s="2"/>
      <c r="E9" s="2"/>
      <c r="F9" s="2"/>
      <c r="G9" s="2"/>
      <c r="H9" s="2"/>
      <c r="I9" s="2"/>
      <c r="J9" s="2"/>
      <c r="K9" s="2"/>
      <c r="L9" s="2"/>
      <c r="M9" s="2"/>
      <c r="N9" s="2"/>
      <c r="O9" s="2"/>
      <c r="P9" s="2"/>
      <c r="Q9" s="2"/>
      <c r="R9" s="2"/>
      <c r="S9" s="2"/>
      <c r="T9" s="2"/>
      <c r="U9" s="2"/>
      <c r="V9" s="2"/>
      <c r="W9" s="2"/>
      <c r="X9" s="2"/>
      <c r="Y9" s="2"/>
      <c r="Z9" s="2"/>
    </row>
    <row r="10" spans="1:26" x14ac:dyDescent="0.3">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x14ac:dyDescent="0.3">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x14ac:dyDescent="0.3">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x14ac:dyDescent="0.3">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x14ac:dyDescent="0.3">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x14ac:dyDescent="0.3">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x14ac:dyDescent="0.3">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x14ac:dyDescent="0.3">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x14ac:dyDescent="0.3">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x14ac:dyDescent="0.3">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x14ac:dyDescent="0.3">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x14ac:dyDescent="0.3">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x14ac:dyDescent="0.3">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x14ac:dyDescent="0.3">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x14ac:dyDescent="0.3">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x14ac:dyDescent="0.3">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x14ac:dyDescent="0.3">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4.4" customHeight="1" x14ac:dyDescent="0.3">
      <c r="A27" s="2"/>
      <c r="B27" s="2"/>
      <c r="C27" s="2"/>
      <c r="D27" s="12" t="s">
        <v>40</v>
      </c>
      <c r="E27" s="12"/>
      <c r="F27" s="12"/>
      <c r="G27" s="12"/>
      <c r="H27" s="12"/>
      <c r="I27" s="12"/>
      <c r="J27" s="12"/>
      <c r="K27" s="12"/>
      <c r="L27" s="12"/>
      <c r="M27" s="12"/>
      <c r="N27" s="12"/>
      <c r="O27" s="12"/>
      <c r="P27" s="12"/>
      <c r="Q27" s="12"/>
      <c r="R27" s="12"/>
      <c r="S27" s="12"/>
      <c r="T27" s="12"/>
      <c r="U27" s="12"/>
      <c r="V27" s="2"/>
      <c r="W27" s="2"/>
      <c r="X27" s="2"/>
      <c r="Y27" s="2"/>
      <c r="Z27" s="2"/>
    </row>
    <row r="28" spans="1:26" x14ac:dyDescent="0.3">
      <c r="A28" s="2"/>
      <c r="B28" s="2"/>
      <c r="C28" s="2"/>
      <c r="D28" s="12"/>
      <c r="E28" s="12"/>
      <c r="F28" s="12"/>
      <c r="G28" s="12"/>
      <c r="H28" s="12"/>
      <c r="I28" s="12"/>
      <c r="J28" s="12"/>
      <c r="K28" s="12"/>
      <c r="L28" s="12"/>
      <c r="M28" s="12"/>
      <c r="N28" s="12"/>
      <c r="O28" s="12"/>
      <c r="P28" s="12"/>
      <c r="Q28" s="12"/>
      <c r="R28" s="12"/>
      <c r="S28" s="12"/>
      <c r="T28" s="12"/>
      <c r="U28" s="12"/>
      <c r="V28" s="2"/>
      <c r="W28" s="2"/>
      <c r="X28" s="2"/>
      <c r="Y28" s="2"/>
      <c r="Z28" s="2"/>
    </row>
    <row r="29" spans="1:26" x14ac:dyDescent="0.3">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x14ac:dyDescent="0.3">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x14ac:dyDescent="0.3">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x14ac:dyDescent="0.3">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x14ac:dyDescent="0.3">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x14ac:dyDescent="0.3">
      <c r="A34" s="2"/>
      <c r="B34" s="2"/>
      <c r="C34" s="2"/>
      <c r="D34" s="2"/>
      <c r="E34" s="2"/>
      <c r="F34" s="2"/>
      <c r="G34" s="2"/>
      <c r="H34" s="2"/>
      <c r="I34" s="2"/>
      <c r="J34" s="2"/>
      <c r="K34" s="2"/>
      <c r="L34" s="2"/>
      <c r="M34" s="2"/>
      <c r="N34" s="2"/>
      <c r="O34" s="2"/>
      <c r="P34" s="2"/>
      <c r="Q34" s="2"/>
      <c r="R34" s="2"/>
      <c r="S34" s="2"/>
      <c r="T34" s="2"/>
      <c r="U34" s="2"/>
      <c r="V34" s="2"/>
      <c r="W34" s="2"/>
      <c r="X34" s="2"/>
      <c r="Y34" s="2"/>
      <c r="Z34" s="2"/>
    </row>
  </sheetData>
  <mergeCells count="1">
    <mergeCell ref="D27:U2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394EA-2C14-4658-BDFF-0E57CE3D956D}">
  <dimension ref="A1:Z44"/>
  <sheetViews>
    <sheetView workbookViewId="0"/>
  </sheetViews>
  <sheetFormatPr defaultRowHeight="14.4" x14ac:dyDescent="0.3"/>
  <sheetData>
    <row r="1" spans="1:26" x14ac:dyDescent="0.3">
      <c r="A1" s="2"/>
      <c r="B1" s="2"/>
      <c r="C1" s="2"/>
      <c r="D1" s="2"/>
      <c r="E1" s="2"/>
      <c r="F1" s="2"/>
      <c r="G1" s="2"/>
      <c r="H1" s="2"/>
      <c r="I1" s="2"/>
      <c r="J1" s="2"/>
      <c r="K1" s="2"/>
      <c r="L1" s="2"/>
      <c r="M1" s="2"/>
      <c r="N1" s="2"/>
      <c r="O1" s="2"/>
      <c r="P1" s="2"/>
      <c r="Q1" s="2"/>
      <c r="R1" s="2"/>
      <c r="S1" s="2"/>
      <c r="T1" s="2"/>
      <c r="U1" s="2"/>
      <c r="V1" s="2"/>
      <c r="W1" s="2"/>
      <c r="X1" s="2"/>
      <c r="Y1" s="2"/>
      <c r="Z1" s="2"/>
    </row>
    <row r="2" spans="1:26" x14ac:dyDescent="0.3">
      <c r="A2" s="2"/>
      <c r="B2" s="2"/>
      <c r="C2" s="2"/>
      <c r="D2" s="2"/>
      <c r="E2" s="2"/>
      <c r="F2" s="2"/>
      <c r="G2" s="2"/>
      <c r="H2" s="2"/>
      <c r="I2" s="2"/>
      <c r="J2" s="2"/>
      <c r="K2" s="2"/>
      <c r="L2" s="2"/>
      <c r="M2" s="2"/>
      <c r="N2" s="2"/>
      <c r="O2" s="2"/>
      <c r="P2" s="2"/>
      <c r="Q2" s="2"/>
      <c r="R2" s="2"/>
      <c r="S2" s="2"/>
      <c r="T2" s="2"/>
      <c r="U2" s="2"/>
      <c r="V2" s="2"/>
      <c r="W2" s="2"/>
      <c r="X2" s="2"/>
      <c r="Y2" s="2"/>
      <c r="Z2" s="2"/>
    </row>
    <row r="3" spans="1:26" x14ac:dyDescent="0.3">
      <c r="A3" s="2"/>
      <c r="B3" s="2"/>
      <c r="C3" s="2"/>
      <c r="D3" s="2"/>
      <c r="E3" s="2"/>
      <c r="F3" s="2"/>
      <c r="G3" s="2"/>
      <c r="H3" s="2"/>
      <c r="I3" s="2"/>
      <c r="J3" s="2"/>
      <c r="K3" s="2"/>
      <c r="L3" s="2"/>
      <c r="M3" s="2"/>
      <c r="N3" s="2"/>
      <c r="O3" s="2"/>
      <c r="P3" s="2"/>
      <c r="Q3" s="2"/>
      <c r="R3" s="2"/>
      <c r="S3" s="2"/>
      <c r="T3" s="2"/>
      <c r="U3" s="2"/>
      <c r="V3" s="2"/>
      <c r="W3" s="2"/>
      <c r="X3" s="2"/>
      <c r="Y3" s="2"/>
      <c r="Z3" s="2"/>
    </row>
    <row r="4" spans="1:26" x14ac:dyDescent="0.3">
      <c r="A4" s="2"/>
      <c r="B4" s="2"/>
      <c r="C4" s="2"/>
      <c r="D4" s="2"/>
      <c r="E4" s="2"/>
      <c r="F4" s="2"/>
      <c r="G4" s="2"/>
      <c r="H4" s="2"/>
      <c r="I4" s="2"/>
      <c r="J4" s="2"/>
      <c r="K4" s="2"/>
      <c r="L4" s="2"/>
      <c r="M4" s="2"/>
      <c r="N4" s="2"/>
      <c r="O4" s="2"/>
      <c r="P4" s="2"/>
      <c r="Q4" s="2"/>
      <c r="R4" s="2"/>
      <c r="S4" s="2"/>
      <c r="T4" s="2"/>
      <c r="U4" s="2"/>
      <c r="V4" s="2"/>
      <c r="W4" s="2"/>
      <c r="X4" s="2"/>
      <c r="Y4" s="2"/>
      <c r="Z4" s="2"/>
    </row>
    <row r="5" spans="1:26" x14ac:dyDescent="0.3">
      <c r="A5" s="2"/>
      <c r="B5" s="2"/>
      <c r="C5" s="2"/>
      <c r="D5" s="2"/>
      <c r="E5" s="2"/>
      <c r="F5" s="2"/>
      <c r="G5" s="2"/>
      <c r="H5" s="2"/>
      <c r="I5" s="2"/>
      <c r="J5" s="2"/>
      <c r="K5" s="2"/>
      <c r="L5" s="2"/>
      <c r="M5" s="2"/>
      <c r="N5" s="2"/>
      <c r="O5" s="2"/>
      <c r="P5" s="2"/>
      <c r="Q5" s="2"/>
      <c r="R5" s="2"/>
      <c r="S5" s="2"/>
      <c r="T5" s="2"/>
      <c r="U5" s="2"/>
      <c r="V5" s="2"/>
      <c r="W5" s="2"/>
      <c r="X5" s="2"/>
      <c r="Y5" s="2"/>
      <c r="Z5" s="2"/>
    </row>
    <row r="6" spans="1:26" x14ac:dyDescent="0.3">
      <c r="A6" s="2"/>
      <c r="B6" s="2"/>
      <c r="C6" s="2"/>
      <c r="D6" s="2"/>
      <c r="E6" s="2"/>
      <c r="F6" s="2"/>
      <c r="G6" s="2"/>
      <c r="H6" s="2"/>
      <c r="I6" s="2"/>
      <c r="J6" s="2"/>
      <c r="K6" s="2"/>
      <c r="L6" s="2"/>
      <c r="M6" s="2"/>
      <c r="N6" s="2"/>
      <c r="O6" s="2"/>
      <c r="P6" s="2"/>
      <c r="Q6" s="2"/>
      <c r="R6" s="2"/>
      <c r="S6" s="2"/>
      <c r="T6" s="2"/>
      <c r="U6" s="2"/>
      <c r="V6" s="2"/>
      <c r="W6" s="2"/>
      <c r="X6" s="2"/>
      <c r="Y6" s="2"/>
      <c r="Z6" s="2"/>
    </row>
    <row r="7" spans="1:26" x14ac:dyDescent="0.3">
      <c r="A7" s="2"/>
      <c r="B7" s="2"/>
      <c r="C7" s="2"/>
      <c r="D7" s="2"/>
      <c r="E7" s="2"/>
      <c r="F7" s="2"/>
      <c r="G7" s="2"/>
      <c r="H7" s="2"/>
      <c r="I7" s="2"/>
      <c r="J7" s="2"/>
      <c r="K7" s="2"/>
      <c r="L7" s="2"/>
      <c r="M7" s="2"/>
      <c r="N7" s="2"/>
      <c r="O7" s="2"/>
      <c r="P7" s="2"/>
      <c r="Q7" s="2"/>
      <c r="R7" s="2"/>
      <c r="S7" s="2"/>
      <c r="T7" s="2"/>
      <c r="U7" s="2"/>
      <c r="V7" s="2"/>
      <c r="W7" s="2"/>
      <c r="X7" s="2"/>
      <c r="Y7" s="2"/>
      <c r="Z7" s="2"/>
    </row>
    <row r="8" spans="1:26" x14ac:dyDescent="0.3">
      <c r="A8" s="2"/>
      <c r="B8" s="2"/>
      <c r="C8" s="2"/>
      <c r="D8" s="2"/>
      <c r="E8" s="2"/>
      <c r="F8" s="2"/>
      <c r="G8" s="2"/>
      <c r="H8" s="2"/>
      <c r="I8" s="2"/>
      <c r="J8" s="2"/>
      <c r="K8" s="2"/>
      <c r="L8" s="2"/>
      <c r="M8" s="2"/>
      <c r="N8" s="2"/>
      <c r="O8" s="2"/>
      <c r="P8" s="2"/>
      <c r="Q8" s="2"/>
      <c r="R8" s="2"/>
      <c r="S8" s="2"/>
      <c r="T8" s="2"/>
      <c r="U8" s="2"/>
      <c r="V8" s="2"/>
      <c r="W8" s="2"/>
      <c r="X8" s="2"/>
      <c r="Y8" s="2"/>
      <c r="Z8" s="2"/>
    </row>
    <row r="9" spans="1:26" x14ac:dyDescent="0.3">
      <c r="A9" s="2"/>
      <c r="B9" s="2"/>
      <c r="C9" s="2"/>
      <c r="D9" s="2"/>
      <c r="E9" s="2"/>
      <c r="F9" s="2"/>
      <c r="G9" s="2"/>
      <c r="H9" s="2"/>
      <c r="I9" s="2"/>
      <c r="J9" s="2"/>
      <c r="K9" s="2"/>
      <c r="L9" s="2"/>
      <c r="M9" s="2"/>
      <c r="N9" s="2"/>
      <c r="O9" s="2"/>
      <c r="P9" s="2"/>
      <c r="Q9" s="2"/>
      <c r="R9" s="2"/>
      <c r="S9" s="2"/>
      <c r="T9" s="2"/>
      <c r="U9" s="2"/>
      <c r="V9" s="2"/>
      <c r="W9" s="2"/>
      <c r="X9" s="2"/>
      <c r="Y9" s="2"/>
      <c r="Z9" s="2"/>
    </row>
    <row r="10" spans="1:26" x14ac:dyDescent="0.3">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x14ac:dyDescent="0.3">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x14ac:dyDescent="0.3">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x14ac:dyDescent="0.3">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x14ac:dyDescent="0.3">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x14ac:dyDescent="0.3">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x14ac:dyDescent="0.3">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x14ac:dyDescent="0.3">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x14ac:dyDescent="0.3">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x14ac:dyDescent="0.3">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x14ac:dyDescent="0.3">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x14ac:dyDescent="0.3">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x14ac:dyDescent="0.3">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x14ac:dyDescent="0.3">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x14ac:dyDescent="0.3">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x14ac:dyDescent="0.3">
      <c r="A25" s="2"/>
      <c r="B25" s="2"/>
      <c r="C25" s="14" t="s">
        <v>43</v>
      </c>
      <c r="D25" s="13"/>
      <c r="E25" s="13"/>
      <c r="F25" s="13"/>
      <c r="G25" s="13"/>
      <c r="H25" s="13"/>
      <c r="I25" s="13"/>
      <c r="J25" s="13"/>
      <c r="K25" s="13"/>
      <c r="L25" s="13"/>
      <c r="M25" s="13"/>
      <c r="N25" s="13"/>
      <c r="O25" s="13"/>
      <c r="P25" s="13"/>
      <c r="Q25" s="13"/>
      <c r="R25" s="13"/>
      <c r="S25" s="13"/>
      <c r="T25" s="2"/>
      <c r="U25" s="2"/>
      <c r="V25" s="2"/>
      <c r="W25" s="2"/>
      <c r="X25" s="2"/>
      <c r="Y25" s="2"/>
      <c r="Z25" s="2"/>
    </row>
    <row r="26" spans="1:26" x14ac:dyDescent="0.3">
      <c r="A26" s="2"/>
      <c r="B26" s="2"/>
      <c r="C26" s="13"/>
      <c r="D26" s="13"/>
      <c r="E26" s="13"/>
      <c r="F26" s="13"/>
      <c r="G26" s="13"/>
      <c r="H26" s="13"/>
      <c r="I26" s="13"/>
      <c r="J26" s="13"/>
      <c r="K26" s="13"/>
      <c r="L26" s="13"/>
      <c r="M26" s="13"/>
      <c r="N26" s="13"/>
      <c r="O26" s="13"/>
      <c r="P26" s="13"/>
      <c r="Q26" s="13"/>
      <c r="R26" s="13"/>
      <c r="S26" s="13"/>
      <c r="T26" s="2"/>
      <c r="U26" s="2"/>
      <c r="V26" s="2"/>
      <c r="W26" s="2"/>
      <c r="X26" s="2"/>
      <c r="Y26" s="2"/>
      <c r="Z26" s="2"/>
    </row>
    <row r="27" spans="1:26" x14ac:dyDescent="0.3">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x14ac:dyDescent="0.3">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x14ac:dyDescent="0.3">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x14ac:dyDescent="0.3">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x14ac:dyDescent="0.3">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x14ac:dyDescent="0.3">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x14ac:dyDescent="0.3">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x14ac:dyDescent="0.3">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sheetData>
  <mergeCells count="1">
    <mergeCell ref="C25:S26"/>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36DDE833-7E18-4D6D-83EE-E36FE1F0E6ED}">
  <ds:schemaRefs>
    <ds:schemaRef ds:uri="http://schemas.microsoft.com/DataMashup"/>
  </ds:schemaRefs>
</ds:datastoreItem>
</file>

<file path=customXml/itemProps2.xml><?xml version="1.0" encoding="utf-8"?>
<ds:datastoreItem xmlns:ds="http://schemas.openxmlformats.org/officeDocument/2006/customXml" ds:itemID="{7AE1D4F7-F071-4BA3-994E-4AD9229676DE}">
  <ds:schemaRefs/>
</ds:datastoreItem>
</file>

<file path=customXml/itemProps3.xml><?xml version="1.0" encoding="utf-8"?>
<ds:datastoreItem xmlns:ds="http://schemas.openxmlformats.org/officeDocument/2006/customXml" ds:itemID="{E291E6CF-B954-4595-A852-0E56DCC4DEFA}">
  <ds:schemaRefs/>
</ds:datastoreItem>
</file>

<file path=customXml/itemProps4.xml><?xml version="1.0" encoding="utf-8"?>
<ds:datastoreItem xmlns:ds="http://schemas.openxmlformats.org/officeDocument/2006/customXml" ds:itemID="{077569DB-0C6D-46F1-A19B-73AB30E42E62}">
  <ds:schemaRefs/>
</ds:datastoreItem>
</file>

<file path=customXml/itemProps5.xml><?xml version="1.0" encoding="utf-8"?>
<ds:datastoreItem xmlns:ds="http://schemas.openxmlformats.org/officeDocument/2006/customXml" ds:itemID="{FABFFC22-921E-4AF5-8807-70862A68F7E5}">
  <ds:schemaRefs/>
</ds:datastoreItem>
</file>

<file path=customXml/itemProps6.xml><?xml version="1.0" encoding="utf-8"?>
<ds:datastoreItem xmlns:ds="http://schemas.openxmlformats.org/officeDocument/2006/customXml" ds:itemID="{EACA4BE1-3AD8-452A-BDB8-6323F98211E4}">
  <ds:schemaRefs/>
</ds:datastoreItem>
</file>

<file path=customXml/itemProps7.xml><?xml version="1.0" encoding="utf-8"?>
<ds:datastoreItem xmlns:ds="http://schemas.openxmlformats.org/officeDocument/2006/customXml" ds:itemID="{0F95CE8E-A562-4583-803D-4A5BC707BFD0}">
  <ds:schemaRefs/>
</ds:datastoreItem>
</file>

<file path=customXml/itemProps8.xml><?xml version="1.0" encoding="utf-8"?>
<ds:datastoreItem xmlns:ds="http://schemas.openxmlformats.org/officeDocument/2006/customXml" ds:itemID="{473CB22D-E8FD-4702-8D4C-D0E4EA532D2A}">
  <ds:schemaRefs/>
</ds:datastoreItem>
</file>

<file path=customXml/itemProps9.xml><?xml version="1.0" encoding="utf-8"?>
<ds:datastoreItem xmlns:ds="http://schemas.openxmlformats.org/officeDocument/2006/customXml" ds:itemID="{5C9C3A5C-CDE4-4490-B562-716970B295E5}">
  <ds:schemaRefs/>
</ds:datastoreItem>
</file>

<file path=customXml/itemProps10.xml><?xml version="1.0" encoding="utf-8"?>
<ds:datastoreItem xmlns:ds="http://schemas.openxmlformats.org/officeDocument/2006/customXml" ds:itemID="{02C0065B-D54F-4709-AAFE-E600AB56FC93}">
  <ds:schemaRefs/>
</ds:datastoreItem>
</file>

<file path=customXml/itemProps11.xml><?xml version="1.0" encoding="utf-8"?>
<ds:datastoreItem xmlns:ds="http://schemas.openxmlformats.org/officeDocument/2006/customXml" ds:itemID="{52A80CCD-C81B-4C73-8ED1-8F97565DD3E3}">
  <ds:schemaRefs/>
</ds:datastoreItem>
</file>

<file path=customXml/itemProps12.xml><?xml version="1.0" encoding="utf-8"?>
<ds:datastoreItem xmlns:ds="http://schemas.openxmlformats.org/officeDocument/2006/customXml" ds:itemID="{EF3167A5-BD71-41EC-9705-39EC329C138A}">
  <ds:schemaRefs/>
</ds:datastoreItem>
</file>

<file path=customXml/itemProps13.xml><?xml version="1.0" encoding="utf-8"?>
<ds:datastoreItem xmlns:ds="http://schemas.openxmlformats.org/officeDocument/2006/customXml" ds:itemID="{E954660E-7575-40BF-93E8-0D7087A440BA}">
  <ds:schemaRefs/>
</ds:datastoreItem>
</file>

<file path=customXml/itemProps14.xml><?xml version="1.0" encoding="utf-8"?>
<ds:datastoreItem xmlns:ds="http://schemas.openxmlformats.org/officeDocument/2006/customXml" ds:itemID="{C6FAE2B2-A59D-49D0-8049-2C8002589313}">
  <ds:schemaRefs/>
</ds:datastoreItem>
</file>

<file path=customXml/itemProps15.xml><?xml version="1.0" encoding="utf-8"?>
<ds:datastoreItem xmlns:ds="http://schemas.openxmlformats.org/officeDocument/2006/customXml" ds:itemID="{FD095D4A-C5D3-400B-B7AF-75E737277E20}">
  <ds:schemaRefs/>
</ds:datastoreItem>
</file>

<file path=customXml/itemProps16.xml><?xml version="1.0" encoding="utf-8"?>
<ds:datastoreItem xmlns:ds="http://schemas.openxmlformats.org/officeDocument/2006/customXml" ds:itemID="{B9F96B74-B2D3-4531-96DE-E306098494D6}">
  <ds:schemaRefs/>
</ds:datastoreItem>
</file>

<file path=customXml/itemProps17.xml><?xml version="1.0" encoding="utf-8"?>
<ds:datastoreItem xmlns:ds="http://schemas.openxmlformats.org/officeDocument/2006/customXml" ds:itemID="{4E43C78C-A605-4B7F-ADD4-B16D7F73D358}">
  <ds:schemaRefs/>
</ds:datastoreItem>
</file>

<file path=customXml/itemProps18.xml><?xml version="1.0" encoding="utf-8"?>
<ds:datastoreItem xmlns:ds="http://schemas.openxmlformats.org/officeDocument/2006/customXml" ds:itemID="{9F089477-BBB2-43C5-B335-196FEEDEAC6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 of Patient</vt:lpstr>
      <vt:lpstr>Average Wait time Daily Trend</vt:lpstr>
      <vt:lpstr>Satisfaction score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Gupta</dc:creator>
  <cp:lastModifiedBy>Abhishek Gupta</cp:lastModifiedBy>
  <dcterms:created xsi:type="dcterms:W3CDTF">2026-06-23T04:10:36Z</dcterms:created>
  <dcterms:modified xsi:type="dcterms:W3CDTF">2026-06-27T05:18:27Z</dcterms:modified>
</cp:coreProperties>
</file>